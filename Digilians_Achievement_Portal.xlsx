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8"/>
  <workbookPr/>
  <mc:AlternateContent xmlns:mc="http://schemas.openxmlformats.org/markup-compatibility/2006">
    <mc:Choice Requires="x15">
      <x15ac:absPath xmlns:x15ac="http://schemas.microsoft.com/office/spreadsheetml/2010/11/ac" url="E:\Digilians Achievement Portal (DAP)\"/>
    </mc:Choice>
  </mc:AlternateContent>
  <xr:revisionPtr revIDLastSave="0" documentId="13_ncr:1_{4E38C391-E179-4B6C-803B-0C650554E442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Competition Submissions" sheetId="1" r:id="rId1"/>
    <sheet name="Team Members" sheetId="2" r:id="rId2"/>
    <sheet name="Competitions Database" sheetId="3" r:id="rId3"/>
    <sheet name="Achievements" sheetId="4" r:id="rId4"/>
    <sheet name="Student Directory" sheetId="5" r:id="rId5"/>
    <sheet name="Dashboard" sheetId="6" r:id="rId6"/>
    <sheet name="Drop-Down Lists" sheetId="7" r:id="rId7"/>
  </sheets>
  <definedNames>
    <definedName name="_xlnm._FilterDatabase" localSheetId="3" hidden="1">Achievements!$A$4:$L$4</definedName>
    <definedName name="_xlnm._FilterDatabase" localSheetId="0" hidden="1">'Competition Submissions'!$A$4:$AP$4</definedName>
    <definedName name="_xlnm._FilterDatabase" localSheetId="2" hidden="1">'Competitions Database'!$A$4:$O$4</definedName>
    <definedName name="_xlnm._FilterDatabase" localSheetId="4" hidden="1">'Student Directory'!$A$4:$O$4</definedName>
    <definedName name="_xlnm._FilterDatabase" localSheetId="1" hidden="1">'Team Members'!$A$4:$L$4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6" l="1"/>
  <c r="E21" i="6"/>
  <c r="E20" i="6"/>
  <c r="E19" i="6"/>
  <c r="P18" i="6"/>
  <c r="O18" i="6"/>
  <c r="N18" i="6"/>
  <c r="M18" i="6"/>
  <c r="L18" i="6"/>
  <c r="K18" i="6"/>
  <c r="J18" i="6"/>
  <c r="E18" i="6"/>
  <c r="E17" i="6"/>
  <c r="E14" i="6"/>
  <c r="S13" i="6"/>
  <c r="E13" i="6"/>
  <c r="S12" i="6"/>
  <c r="E12" i="6"/>
  <c r="S11" i="6"/>
  <c r="E11" i="6"/>
  <c r="S10" i="6"/>
  <c r="E10" i="6"/>
  <c r="V9" i="6"/>
  <c r="S9" i="6"/>
  <c r="V8" i="6"/>
  <c r="S8" i="6"/>
  <c r="V7" i="6"/>
  <c r="S7" i="6"/>
  <c r="V6" i="6"/>
  <c r="S6" i="6"/>
  <c r="V5" i="6"/>
  <c r="S5" i="6"/>
  <c r="O5" i="6"/>
  <c r="M5" i="6"/>
  <c r="K5" i="6"/>
  <c r="I5" i="6"/>
  <c r="G5" i="6"/>
  <c r="E5" i="6"/>
  <c r="C5" i="6"/>
  <c r="A5" i="6"/>
  <c r="V4" i="6"/>
  <c r="S4" i="6"/>
  <c r="A9" i="5"/>
  <c r="A8" i="5"/>
  <c r="A7" i="5"/>
  <c r="A6" i="5"/>
  <c r="A5" i="5"/>
  <c r="A6" i="4"/>
  <c r="A5" i="4"/>
  <c r="A6" i="3"/>
  <c r="A5" i="3"/>
  <c r="A14" i="2"/>
  <c r="A13" i="2"/>
  <c r="A12" i="2"/>
  <c r="A11" i="2"/>
  <c r="A10" i="2"/>
  <c r="A9" i="2"/>
  <c r="A8" i="2"/>
  <c r="A7" i="2"/>
  <c r="A6" i="2"/>
  <c r="A5" i="2"/>
  <c r="AP6" i="1"/>
  <c r="U6" i="1"/>
  <c r="T6" i="1"/>
  <c r="A6" i="1"/>
  <c r="AP5" i="1"/>
  <c r="U5" i="1"/>
  <c r="T5" i="1"/>
  <c r="A5" i="1"/>
</calcChain>
</file>

<file path=xl/sharedStrings.xml><?xml version="1.0" encoding="utf-8"?>
<sst xmlns="http://schemas.openxmlformats.org/spreadsheetml/2006/main" count="560" uniqueCount="298">
  <si>
    <t>🏆  Digilians Achievement Portal — Competition Submissions</t>
  </si>
  <si>
    <t>Master database for all student competition entries</t>
  </si>
  <si>
    <t>📋 SUBMISSION INFO</t>
  </si>
  <si>
    <t>👤 STUDENT DETAILS</t>
  </si>
  <si>
    <t>🏅 COMPETITION INFO</t>
  </si>
  <si>
    <t>📅 TIMELINE</t>
  </si>
  <si>
    <t>💡 PROJECT DETAILS</t>
  </si>
  <si>
    <t>👥 TEAM INFO</t>
  </si>
  <si>
    <t>👑 LEADER INFO</t>
  </si>
  <si>
    <t>🎖 ACHIEVEMENTS</t>
  </si>
  <si>
    <t>🔗 LINKS &amp; DOCS</t>
  </si>
  <si>
    <t>📝 NOTES</t>
  </si>
  <si>
    <t>Submission ID</t>
  </si>
  <si>
    <t>Submission Date</t>
  </si>
  <si>
    <t>Created By</t>
  </si>
  <si>
    <t>Batch</t>
  </si>
  <si>
    <t>Student Full Name</t>
  </si>
  <si>
    <t>Student Email</t>
  </si>
  <si>
    <t>Student Phone</t>
  </si>
  <si>
    <t>Digilians Track</t>
  </si>
  <si>
    <t>University</t>
  </si>
  <si>
    <t>Faculty</t>
  </si>
  <si>
    <t>Competition Name</t>
  </si>
  <si>
    <t>Competition Link</t>
  </si>
  <si>
    <t>Organizer</t>
  </si>
  <si>
    <t>Competition Category</t>
  </si>
  <si>
    <t>Competition Country</t>
  </si>
  <si>
    <t>Competition Type</t>
  </si>
  <si>
    <t>Competition Level</t>
  </si>
  <si>
    <t>Prize Pool</t>
  </si>
  <si>
    <t>Registration Date</t>
  </si>
  <si>
    <t>Submission Deadline</t>
  </si>
  <si>
    <t>Deadline Status</t>
  </si>
  <si>
    <t>Days Remaining</t>
  </si>
  <si>
    <t>Project Name</t>
  </si>
  <si>
    <t>Project Description</t>
  </si>
  <si>
    <t>Technology Stack</t>
  </si>
  <si>
    <t>Team Name</t>
  </si>
  <si>
    <t>Total Team Members</t>
  </si>
  <si>
    <t>Is Team Leader?</t>
  </si>
  <si>
    <t>Team Leader Name</t>
  </si>
  <si>
    <t>Team Leader Email</t>
  </si>
  <si>
    <t>Team Leader Phone</t>
  </si>
  <si>
    <t>Current Status</t>
  </si>
  <si>
    <t>Achievement</t>
  </si>
  <si>
    <t>Ranking</t>
  </si>
  <si>
    <t>Prize Won</t>
  </si>
  <si>
    <t>Certificate Link</t>
  </si>
  <si>
    <t>Demo Link</t>
  </si>
  <si>
    <t>GitHub Repository</t>
  </si>
  <si>
    <t>LinkedIn Post</t>
  </si>
  <si>
    <t>Presentation Link</t>
  </si>
  <si>
    <t>Drive Folder</t>
  </si>
  <si>
    <t>Notes</t>
  </si>
  <si>
    <t>Completion %</t>
  </si>
  <si>
    <t>2026-06-26</t>
  </si>
  <si>
    <t>Admin</t>
  </si>
  <si>
    <t>4th Year</t>
  </si>
  <si>
    <t>Batch 3</t>
  </si>
  <si>
    <t>Mohamed Abdelsalam Mohamed Gharieb</t>
  </si>
  <si>
    <t>moghariebai@gmail.com</t>
  </si>
  <si>
    <t>+20 01022487565</t>
  </si>
  <si>
    <t>AI &amp; Machine Learning</t>
  </si>
  <si>
    <t>Alexandria University</t>
  </si>
  <si>
    <t>Faculty of Engineering</t>
  </si>
  <si>
    <t>ITC-EGYPT 2026</t>
  </si>
  <si>
    <t>https://itc-egypt.org</t>
  </si>
  <si>
    <t>ITC Egypt</t>
  </si>
  <si>
    <t>Egypt</t>
  </si>
  <si>
    <t>Online</t>
  </si>
  <si>
    <t>National</t>
  </si>
  <si>
    <t>N/A</t>
  </si>
  <si>
    <t>2026-02-15</t>
  </si>
  <si>
    <t>2026-08-31</t>
  </si>
  <si>
    <t>SADAR: AI-Powered Spectrum Anomaly Detection for Anti-Drone Threats</t>
  </si>
  <si>
    <t>SADAR is an AI-powered autonomous spectrum intelligence platform designed for anti-drone threat detection. The system analyzes RF spectrum signals, detects abnormal patterns, classifies potential drone activities, and provides real-time intelligence through an AI analytics dashboard.</t>
  </si>
  <si>
    <t>Python, FastAPI, React, TypeScript, AI/ML Models, Signal Processing, Data Analytics, WebSockets, Docker, REST API</t>
  </si>
  <si>
    <t>SADAR AI Team</t>
  </si>
  <si>
    <t>Yes</t>
  </si>
  <si>
    <t>Shortlisted</t>
  </si>
  <si>
    <t>Passed First Stage Review and Advanced to Phase 2</t>
  </si>
  <si>
    <t>Phase 2 Participant</t>
  </si>
  <si>
    <t>To be added after final presentation recording</t>
  </si>
  <si>
    <t>https://github.com/GhariebML/SADAR</t>
  </si>
  <si>
    <t>SADAR successfully passed the first stage evaluation of ITC-EGYPT 2026 and advanced to Phase 2. The project is currently being prepared for final demonstration including system testing, UI/UX improvements, AI analytics validation, and professional video presentation. Team Leader Location: Montaza District, Alexandria, Egypt. Team Member Aya Ashraf Location: Ibn El Sayar Street, El Kabary, Alexandria, Egypt.</t>
  </si>
  <si>
    <t>ITC-EGYPT 2026 Anti-Drone Challenge</t>
  </si>
  <si>
    <t>SADAR successfully passed the first stage evaluation of ITC-EGYPT 2026 Anti-Drone Challenge and advanced to Phase 2. The project is currently being prepared for final demonstration including system testing, UI/UX improvements, AI analytics validation, and professional video presentation. Team Leader Location: Montaza District, Alexandria, Egypt. Team Member Aya Ashraf Location: Ibn El Sayar Street, El Kabary, Alexandria, Egypt.</t>
  </si>
  <si>
    <t>👥  Team Members Directory</t>
  </si>
  <si>
    <t>Track every team member across all competitions</t>
  </si>
  <si>
    <t>Team ID</t>
  </si>
  <si>
    <t>Member Name</t>
  </si>
  <si>
    <t>Email</t>
  </si>
  <si>
    <t>Phone</t>
  </si>
  <si>
    <t>Role</t>
  </si>
  <si>
    <t>GitHub</t>
  </si>
  <si>
    <t>LinkedIn</t>
  </si>
  <si>
    <t>Portfolio</t>
  </si>
  <si>
    <t>Is Active</t>
  </si>
  <si>
    <t>Leader</t>
  </si>
  <si>
    <t>https://github.com/GhariebML</t>
  </si>
  <si>
    <t>Goda Emad Goda Elsayed</t>
  </si>
  <si>
    <t>goda.emad.elsayed@gmail.com</t>
  </si>
  <si>
    <t>01126242932</t>
  </si>
  <si>
    <t>AI Developer</t>
  </si>
  <si>
    <t>https://github.com/godaemad</t>
  </si>
  <si>
    <t>Aya Emad Ramadan Elsaby</t>
  </si>
  <si>
    <t>aya.emad.elsaby@gmail.com</t>
  </si>
  <si>
    <t>01121897160</t>
  </si>
  <si>
    <t>https://github.com/ayaemad</t>
  </si>
  <si>
    <t>Eman Mansour Abdel Halim Barrin</t>
  </si>
  <si>
    <t>eman.mansour.barrin@gmail.com</t>
  </si>
  <si>
    <t>01068302915</t>
  </si>
  <si>
    <t>Signal Processing Specialist</t>
  </si>
  <si>
    <t>https://github.com/emanmansour</t>
  </si>
  <si>
    <t>Aya Ashraf Elias AbdelMaksoud</t>
  </si>
  <si>
    <t>Ayaaeliass@gmail.com</t>
  </si>
  <si>
    <t>01277474411</t>
  </si>
  <si>
    <t>UI/UX Designer</t>
  </si>
  <si>
    <t>https://github.com/Ayaaeliass</t>
  </si>
  <si>
    <t>🏅  Competitions Database</t>
  </si>
  <si>
    <t>Master list of all competitions tracked by Digilians</t>
  </si>
  <si>
    <t>Competition ID</t>
  </si>
  <si>
    <t>Website</t>
  </si>
  <si>
    <t>Registration Link</t>
  </si>
  <si>
    <t>Category</t>
  </si>
  <si>
    <t>Country</t>
  </si>
  <si>
    <t>Online/Offline</t>
  </si>
  <si>
    <t>Reg. Opens</t>
  </si>
  <si>
    <t>Reg. Deadline</t>
  </si>
  <si>
    <t>Prize</t>
  </si>
  <si>
    <t>Announcement Link</t>
  </si>
  <si>
    <t>Status</t>
  </si>
  <si>
    <t>https://itc-egypt.org/register</t>
  </si>
  <si>
    <t>2026-01-01 00:00:00</t>
  </si>
  <si>
    <t>2026-04-30 00:00:00</t>
  </si>
  <si>
    <t>2026-07-31 00:00:00</t>
  </si>
  <si>
    <t>https://itc-egypt.org/results</t>
  </si>
  <si>
    <t>Open</t>
  </si>
  <si>
    <t>Main event track for artificial intelligence and machine learning submissions.</t>
  </si>
  <si>
    <t>Special challenge track focusing on spectrum intelligence and anti-drone detection systems.</t>
  </si>
  <si>
    <t>🎖  Achievements Register</t>
  </si>
  <si>
    <t>Official record of all verified competition achievements</t>
  </si>
  <si>
    <t>Achievement ID</t>
  </si>
  <si>
    <t>Student Name</t>
  </si>
  <si>
    <t>Achievement Date</t>
  </si>
  <si>
    <t>Photos Link</t>
  </si>
  <si>
    <t>News Link</t>
  </si>
  <si>
    <t>Verified</t>
  </si>
  <si>
    <t>2026-06-25</t>
  </si>
  <si>
    <t>👤  Student Directory</t>
  </si>
  <si>
    <t>Complete student registry with competition stats</t>
  </si>
  <si>
    <t>Student ID</t>
  </si>
  <si>
    <t>Full Name</t>
  </si>
  <si>
    <t>Track</t>
  </si>
  <si>
    <t>Total Competitions</t>
  </si>
  <si>
    <t>Total Wins</t>
  </si>
  <si>
    <t>Total Finalists</t>
  </si>
  <si>
    <t>https://linkedin.com/in/ghariebml</t>
  </si>
  <si>
    <t>Active</t>
  </si>
  <si>
    <t>🏆  DIGILIANS ACHIEVEMENT PORTAL — DASHBOARD</t>
  </si>
  <si>
    <t>Auto-calculated from live data  |  Last Refreshed: 26 June 2026</t>
  </si>
  <si>
    <t>Count</t>
  </si>
  <si>
    <t>👤 Total Students</t>
  </si>
  <si>
    <t>🏅 Total Competitions</t>
  </si>
  <si>
    <t>📋 Total Submissions</t>
  </si>
  <si>
    <t>👥 Total Team Members</t>
  </si>
  <si>
    <t>🏆 Total Winners</t>
  </si>
  <si>
    <t>🎖 Total Finalists</t>
  </si>
  <si>
    <t>✅ Verified Achievements</t>
  </si>
  <si>
    <t>🔓 Open Competitions</t>
  </si>
  <si>
    <t>Winner</t>
  </si>
  <si>
    <t>Data Science</t>
  </si>
  <si>
    <t>Finalist</t>
  </si>
  <si>
    <t>Web Development</t>
  </si>
  <si>
    <t>Mobile Development</t>
  </si>
  <si>
    <t>Under Review</t>
  </si>
  <si>
    <t>📊  PARTICIPATION BY TRACK</t>
  </si>
  <si>
    <t>🏅  TOP STUDENTS LEADERBOARD</t>
  </si>
  <si>
    <t>Cybersecurity</t>
  </si>
  <si>
    <t>Registered</t>
  </si>
  <si>
    <t>#</t>
  </si>
  <si>
    <t>Competitions</t>
  </si>
  <si>
    <t>Wins</t>
  </si>
  <si>
    <t>Finals</t>
  </si>
  <si>
    <t>Cloud Computing</t>
  </si>
  <si>
    <t>Rejected</t>
  </si>
  <si>
    <t>UI/UX Design</t>
  </si>
  <si>
    <t>Business Technology</t>
  </si>
  <si>
    <t>Embedded Systems</t>
  </si>
  <si>
    <t>Other</t>
  </si>
  <si>
    <t>📈  COMPETITION SUCCESS METRICS</t>
  </si>
  <si>
    <t>📅  MONTHLY REGISTRATIONS</t>
  </si>
  <si>
    <t>Total Submissions</t>
  </si>
  <si>
    <t>Jan</t>
  </si>
  <si>
    <t>Feb</t>
  </si>
  <si>
    <t>Mar</t>
  </si>
  <si>
    <t>Apr</t>
  </si>
  <si>
    <t>May</t>
  </si>
  <si>
    <t>Jun</t>
  </si>
  <si>
    <t>Jul</t>
  </si>
  <si>
    <t>Winners</t>
  </si>
  <si>
    <t>Finalists</t>
  </si>
  <si>
    <t>Win Rate</t>
  </si>
  <si>
    <t>🗂  Digilians — Reference Drop-Down Lists</t>
  </si>
  <si>
    <t>All dropdown values used across the workbook</t>
  </si>
  <si>
    <t>Tracks</t>
  </si>
  <si>
    <t>Competition Categories</t>
  </si>
  <si>
    <t>Countries</t>
  </si>
  <si>
    <t>Roles</t>
  </si>
  <si>
    <t>Competition Status</t>
  </si>
  <si>
    <t>Achievement Types</t>
  </si>
  <si>
    <t>Universities</t>
  </si>
  <si>
    <t>Academic Years</t>
  </si>
  <si>
    <t>Batches</t>
  </si>
  <si>
    <t>Yes/No</t>
  </si>
  <si>
    <t>Comp Type</t>
  </si>
  <si>
    <t>Comp Reg Status</t>
  </si>
  <si>
    <t>Student Status</t>
  </si>
  <si>
    <t>1st Place</t>
  </si>
  <si>
    <t>Cairo University</t>
  </si>
  <si>
    <t>1st Year</t>
  </si>
  <si>
    <t>Batch 1</t>
  </si>
  <si>
    <t>Upcoming</t>
  </si>
  <si>
    <t>Saudi Arabia</t>
  </si>
  <si>
    <t>Developer</t>
  </si>
  <si>
    <t>Team Formed</t>
  </si>
  <si>
    <t>2nd Place</t>
  </si>
  <si>
    <t>Ain Shams University</t>
  </si>
  <si>
    <t>2nd Year</t>
  </si>
  <si>
    <t>Batch 2</t>
  </si>
  <si>
    <t>No</t>
  </si>
  <si>
    <t>Offline</t>
  </si>
  <si>
    <t>Inactive</t>
  </si>
  <si>
    <t>UAE</t>
  </si>
  <si>
    <t>AI Engineer</t>
  </si>
  <si>
    <t>Idea Submitted</t>
  </si>
  <si>
    <t>3rd Place</t>
  </si>
  <si>
    <t>3rd Year</t>
  </si>
  <si>
    <t>Hybrid</t>
  </si>
  <si>
    <t>Closed</t>
  </si>
  <si>
    <t>Graduated</t>
  </si>
  <si>
    <t>Mobile Application</t>
  </si>
  <si>
    <t>Jordan</t>
  </si>
  <si>
    <t>Data Scientist</t>
  </si>
  <si>
    <t>Proposal Submitted</t>
  </si>
  <si>
    <t>Top 5</t>
  </si>
  <si>
    <t>Mansoura University</t>
  </si>
  <si>
    <t>Batch 4</t>
  </si>
  <si>
    <t>Finished</t>
  </si>
  <si>
    <t>Kuwait</t>
  </si>
  <si>
    <t>Backend</t>
  </si>
  <si>
    <t>MVP Completed</t>
  </si>
  <si>
    <t>Top 10</t>
  </si>
  <si>
    <t>Helwan University</t>
  </si>
  <si>
    <t>5th Year</t>
  </si>
  <si>
    <t>Batch 5</t>
  </si>
  <si>
    <t>Innovation</t>
  </si>
  <si>
    <t>Qatar</t>
  </si>
  <si>
    <t>Frontend</t>
  </si>
  <si>
    <t>Top 20</t>
  </si>
  <si>
    <t>Benha University</t>
  </si>
  <si>
    <t>Graduate</t>
  </si>
  <si>
    <t>Batch 6</t>
  </si>
  <si>
    <t>Entrepreneurship</t>
  </si>
  <si>
    <t>Morocco</t>
  </si>
  <si>
    <t>UI/UX</t>
  </si>
  <si>
    <t>Zagazig University</t>
  </si>
  <si>
    <t>Batch 7</t>
  </si>
  <si>
    <t>Robotics</t>
  </si>
  <si>
    <t>Tunisia</t>
  </si>
  <si>
    <t>Business</t>
  </si>
  <si>
    <t>Top 100</t>
  </si>
  <si>
    <t>Honorable Mention</t>
  </si>
  <si>
    <t>Suez Canal University</t>
  </si>
  <si>
    <t>Batch 8</t>
  </si>
  <si>
    <t>Design</t>
  </si>
  <si>
    <t>Germany</t>
  </si>
  <si>
    <t>Marketing</t>
  </si>
  <si>
    <t>Top 50</t>
  </si>
  <si>
    <t>Participant</t>
  </si>
  <si>
    <t>Menoufia University</t>
  </si>
  <si>
    <t>Batch 9</t>
  </si>
  <si>
    <t>Research</t>
  </si>
  <si>
    <t>USA</t>
  </si>
  <si>
    <t>South Valley University</t>
  </si>
  <si>
    <t>Batch 10</t>
  </si>
  <si>
    <t>Open Source</t>
  </si>
  <si>
    <t>UK</t>
  </si>
  <si>
    <t>Batch 11</t>
  </si>
  <si>
    <t>France</t>
  </si>
  <si>
    <t>Batch 12</t>
  </si>
  <si>
    <t>Canada</t>
  </si>
  <si>
    <t>Batch 13</t>
  </si>
  <si>
    <t>Netherlands</t>
  </si>
  <si>
    <t>Batch 14</t>
  </si>
  <si>
    <t>Singapore</t>
  </si>
  <si>
    <t>Batch 15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</si>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</sst>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19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00B4D8"/>
      <name val="Arial"/>
      <charset val="1"/>
    </font>
    <font>
      <b/>
      <sz val="9"/>
      <color rgb="FFFFFFFF"/>
      <name val="Arial"/>
      <charset val="1"/>
    </font>
    <font>
      <sz val="10"/>
      <color rgb="FF1E293B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b/>
      <sz val="9"/>
      <color rgb="FF0D2561"/>
      <name val="Arial"/>
      <charset val="1"/>
    </font>
    <font>
      <b/>
      <sz val="20"/>
      <color rgb="FF0D2561"/>
      <name val="Arial"/>
      <charset val="1"/>
    </font>
    <font>
      <b/>
      <sz val="20"/>
      <color rgb="FF1A3C8F"/>
      <name val="Arial"/>
      <charset val="1"/>
    </font>
    <font>
      <b/>
      <sz val="20"/>
      <color rgb="FF0E7490"/>
      <name val="Arial"/>
      <charset val="1"/>
    </font>
    <font>
      <b/>
      <sz val="20"/>
      <color rgb="FF6D28D9"/>
      <name val="Arial"/>
      <charset val="1"/>
    </font>
    <font>
      <b/>
      <sz val="20"/>
      <color rgb="FF065F46"/>
      <name val="Arial"/>
      <charset val="1"/>
    </font>
    <font>
      <b/>
      <sz val="20"/>
      <color rgb="FFB45309"/>
      <name val="Arial"/>
      <charset val="1"/>
    </font>
    <font>
      <b/>
      <sz val="20"/>
      <color rgb="FF9F1239"/>
      <name val="Arial"/>
      <charset val="1"/>
    </font>
    <font>
      <b/>
      <sz val="20"/>
      <color rgb="FF00B4D8"/>
      <name val="Arial"/>
      <charset val="1"/>
    </font>
    <font>
      <b/>
      <sz val="11"/>
      <color rgb="FFFFFFFF"/>
      <name val="Arial"/>
      <charset val="1"/>
    </font>
    <font>
      <b/>
      <sz val="11"/>
      <color rgb="FF1A3C8F"/>
      <name val="Arial"/>
      <charset val="1"/>
    </font>
    <font>
      <b/>
      <sz val="11"/>
      <color rgb="FF0D2561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0D2561"/>
        <bgColor rgb="FF1E293B"/>
      </patternFill>
    </fill>
    <fill>
      <patternFill patternType="solid">
        <fgColor rgb="FF1A3C8F"/>
        <bgColor rgb="FF0D2561"/>
      </patternFill>
    </fill>
    <fill>
      <patternFill patternType="solid">
        <fgColor rgb="FF0E7490"/>
        <bgColor rgb="FF0369A1"/>
      </patternFill>
    </fill>
    <fill>
      <patternFill patternType="solid">
        <fgColor rgb="FF065F46"/>
        <bgColor rgb="FF166534"/>
      </patternFill>
    </fill>
    <fill>
      <patternFill patternType="solid">
        <fgColor rgb="FF6D28D9"/>
        <bgColor rgb="FF800080"/>
      </patternFill>
    </fill>
    <fill>
      <patternFill patternType="solid">
        <fgColor rgb="FFB45309"/>
        <bgColor rgb="FFC0504D"/>
      </patternFill>
    </fill>
    <fill>
      <patternFill patternType="solid">
        <fgColor rgb="FF9F1239"/>
        <bgColor rgb="FF991B1B"/>
      </patternFill>
    </fill>
    <fill>
      <patternFill patternType="solid">
        <fgColor rgb="FF0369A1"/>
        <bgColor rgb="FF0E7490"/>
      </patternFill>
    </fill>
    <fill>
      <patternFill patternType="solid">
        <fgColor rgb="FF166534"/>
        <bgColor rgb="FF065F46"/>
      </patternFill>
    </fill>
    <fill>
      <patternFill patternType="solid">
        <fgColor rgb="FF374151"/>
        <bgColor rgb="FF475569"/>
      </patternFill>
    </fill>
    <fill>
      <patternFill patternType="solid">
        <fgColor rgb="FF00B4D8"/>
        <bgColor rgb="FF4BACC6"/>
      </patternFill>
    </fill>
    <fill>
      <patternFill patternType="solid">
        <fgColor rgb="FFFFFFFF"/>
        <bgColor rgb="FFF9F9F9"/>
      </patternFill>
    </fill>
    <fill>
      <patternFill patternType="solid">
        <fgColor rgb="FFF0F4FA"/>
        <bgColor rgb="FFF9F9F9"/>
      </patternFill>
    </fill>
  </fills>
  <borders count="5">
    <border>
      <left/>
      <right/>
      <top/>
      <bottom/>
      <diagonal/>
    </border>
    <border>
      <left style="thin">
        <color rgb="FFC5D3E8"/>
      </left>
      <right style="thin">
        <color rgb="FFC5D3E8"/>
      </right>
      <top style="thin">
        <color rgb="FFC5D3E8"/>
      </top>
      <bottom style="thin">
        <color rgb="FFC5D3E8"/>
      </bottom>
      <diagonal/>
    </border>
    <border>
      <left style="thin">
        <color rgb="FFC5D3E8"/>
      </left>
      <right/>
      <top style="thin">
        <color rgb="FFC5D3E8"/>
      </top>
      <bottom style="thin">
        <color rgb="FFC5D3E8"/>
      </bottom>
      <diagonal/>
    </border>
    <border>
      <left/>
      <right/>
      <top style="thin">
        <color rgb="FFC5D3E8"/>
      </top>
      <bottom style="thin">
        <color rgb="FFC5D3E8"/>
      </bottom>
      <diagonal/>
    </border>
    <border>
      <left/>
      <right style="thin">
        <color rgb="FFC5D3E8"/>
      </right>
      <top style="thin">
        <color rgb="FFC5D3E8"/>
      </top>
      <bottom style="thin">
        <color rgb="FFC5D3E8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164" fontId="4" fillId="13" borderId="1" xfId="0" applyNumberFormat="1" applyFont="1" applyFill="1" applyBorder="1" applyAlignment="1">
      <alignment vertical="center" wrapText="1"/>
    </xf>
    <xf numFmtId="1" fontId="4" fillId="13" borderId="1" xfId="0" applyNumberFormat="1" applyFont="1" applyFill="1" applyBorder="1" applyAlignment="1">
      <alignment vertical="center" wrapText="1"/>
    </xf>
    <xf numFmtId="9" fontId="4" fillId="13" borderId="1" xfId="0" applyNumberFormat="1" applyFont="1" applyFill="1" applyBorder="1" applyAlignment="1">
      <alignment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0" borderId="0" xfId="0" applyFont="1"/>
    <xf numFmtId="0" fontId="0" fillId="0" borderId="0" xfId="0"/>
    <xf numFmtId="0" fontId="17" fillId="13" borderId="1" xfId="0" applyFont="1" applyFill="1" applyBorder="1" applyAlignment="1">
      <alignment vertical="center"/>
    </xf>
    <xf numFmtId="0" fontId="4" fillId="13" borderId="1" xfId="0" applyFont="1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17" fillId="14" borderId="1" xfId="0" applyFont="1" applyFill="1" applyBorder="1" applyAlignment="1">
      <alignment vertical="center"/>
    </xf>
    <xf numFmtId="0" fontId="4" fillId="14" borderId="1" xfId="0" applyFont="1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17" fillId="14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0" fillId="0" borderId="0" xfId="0"/>
    <xf numFmtId="0" fontId="3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13" borderId="2" xfId="0" applyFont="1" applyFill="1" applyBorder="1" applyAlignment="1">
      <alignment vertical="center"/>
    </xf>
    <xf numFmtId="0" fontId="0" fillId="0" borderId="3" xfId="0" applyBorder="1"/>
    <xf numFmtId="0" fontId="4" fillId="14" borderId="2" xfId="0" applyFont="1" applyFill="1" applyBorder="1" applyAlignment="1">
      <alignment vertical="center"/>
    </xf>
    <xf numFmtId="0" fontId="9" fillId="14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165" fontId="18" fillId="14" borderId="2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0" borderId="4" xfId="0" applyBorder="1"/>
    <xf numFmtId="0" fontId="18" fillId="14" borderId="2" xfId="0" applyFont="1" applyFill="1" applyBorder="1" applyAlignment="1">
      <alignment horizontal="center" vertical="center"/>
    </xf>
    <xf numFmtId="0" fontId="15" fillId="14" borderId="0" xfId="0" applyFont="1" applyFill="1" applyAlignment="1">
      <alignment horizontal="center" vertical="center"/>
    </xf>
    <xf numFmtId="0" fontId="16" fillId="5" borderId="2" xfId="0" applyFont="1" applyFill="1" applyBorder="1" applyAlignment="1">
      <alignment horizontal="left" vertical="center"/>
    </xf>
    <xf numFmtId="0" fontId="16" fillId="8" borderId="2" xfId="0" applyFont="1" applyFill="1" applyBorder="1" applyAlignment="1">
      <alignment horizontal="left" vertical="center"/>
    </xf>
    <xf numFmtId="0" fontId="17" fillId="13" borderId="2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8" fillId="14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2" fillId="14" borderId="0" xfId="0" applyFont="1" applyFill="1" applyAlignment="1">
      <alignment horizontal="center" vertical="center"/>
    </xf>
    <xf numFmtId="0" fontId="16" fillId="2" borderId="2" xfId="0" applyFont="1" applyFill="1" applyBorder="1" applyAlignment="1">
      <alignment horizontal="left" vertical="center"/>
    </xf>
    <xf numFmtId="0" fontId="17" fillId="14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6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16">
    <dxf>
      <font>
        <color rgb="FF64748B"/>
        <name val="Arial"/>
        <charset val="1"/>
      </font>
      <fill>
        <patternFill>
          <bgColor rgb="FFD1D9E6"/>
        </patternFill>
      </fill>
    </dxf>
    <dxf>
      <font>
        <color rgb="FF1A3C8F"/>
        <name val="Arial"/>
        <charset val="1"/>
      </font>
      <fill>
        <patternFill>
          <bgColor rgb="FFDBEAFE"/>
        </patternFill>
      </fill>
    </dxf>
    <dxf>
      <font>
        <b/>
        <color rgb="FF065F46"/>
        <name val="Arial"/>
        <charset val="1"/>
      </font>
      <fill>
        <patternFill>
          <bgColor rgb="FFD1FAE5"/>
        </patternFill>
      </fill>
    </dxf>
    <dxf>
      <font>
        <b/>
        <color rgb="FF065F46"/>
        <name val="Arial"/>
        <charset val="1"/>
      </font>
      <fill>
        <patternFill>
          <bgColor rgb="FFD1FAE5"/>
        </patternFill>
      </fill>
    </dxf>
    <dxf>
      <font>
        <color rgb="FF854D0E"/>
        <name val="Arial"/>
        <charset val="1"/>
      </font>
      <fill>
        <patternFill>
          <bgColor rgb="FFFEF9C3"/>
        </patternFill>
      </fill>
    </dxf>
    <dxf>
      <font>
        <b/>
        <color rgb="FF065F46"/>
        <name val="Arial"/>
        <charset val="1"/>
      </font>
      <fill>
        <patternFill>
          <bgColor rgb="FFD1FAE5"/>
        </patternFill>
      </fill>
    </dxf>
    <dxf>
      <font>
        <b/>
        <color rgb="FF1A3C8F"/>
        <name val="Arial"/>
        <charset val="1"/>
      </font>
      <fill>
        <patternFill>
          <bgColor rgb="FFDBEAFE"/>
        </patternFill>
      </fill>
    </dxf>
    <dxf>
      <font>
        <color rgb="FF475569"/>
        <name val="Arial"/>
        <charset val="1"/>
      </font>
      <fill>
        <patternFill>
          <bgColor rgb="FFD1D9E6"/>
        </patternFill>
      </fill>
    </dxf>
    <dxf>
      <font>
        <b/>
        <color rgb="FF065F46"/>
        <name val="Arial"/>
        <charset val="1"/>
      </font>
      <fill>
        <patternFill>
          <bgColor rgb="FFD1FAE5"/>
        </patternFill>
      </fill>
    </dxf>
    <dxf>
      <font>
        <b/>
        <color rgb="FF854D0E"/>
        <name val="Arial"/>
        <charset val="1"/>
      </font>
      <fill>
        <patternFill>
          <bgColor rgb="FFFEF9C3"/>
        </patternFill>
      </fill>
    </dxf>
    <dxf>
      <font>
        <b/>
        <color rgb="FF991B1B"/>
        <name val="Arial"/>
        <charset val="1"/>
      </font>
      <fill>
        <patternFill>
          <bgColor rgb="FFFEE2E2"/>
        </patternFill>
      </fill>
    </dxf>
    <dxf>
      <font>
        <b/>
        <color rgb="FF1A3C8F"/>
        <name val="Arial"/>
        <charset val="1"/>
      </font>
      <fill>
        <patternFill>
          <bgColor rgb="FFDBEAFE"/>
        </patternFill>
      </fill>
    </dxf>
    <dxf>
      <font>
        <b/>
        <color rgb="FF065F46"/>
        <name val="Arial"/>
        <charset val="1"/>
      </font>
      <fill>
        <patternFill>
          <bgColor rgb="FFD1FAE5"/>
        </patternFill>
      </fill>
    </dxf>
    <dxf>
      <font>
        <color rgb="FF991B1B"/>
        <name val="Arial"/>
        <charset val="1"/>
      </font>
      <fill>
        <patternFill>
          <bgColor rgb="FFFEE2E2"/>
        </patternFill>
      </fill>
    </dxf>
    <dxf>
      <fill>
        <patternFill>
          <bgColor rgb="FFFEF9C3"/>
        </patternFill>
      </fill>
    </dxf>
    <dxf>
      <font>
        <color rgb="FF991B1B"/>
        <name val="Arial"/>
        <charset val="1"/>
      </font>
      <fill>
        <patternFill>
          <bgColor rgb="FFFEE2E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F1239"/>
      <rgbColor rgb="FF166534"/>
      <rgbColor rgb="FF000080"/>
      <rgbColor rgb="FF808000"/>
      <rgbColor rgb="FF6D28D9"/>
      <rgbColor rgb="FF0E7490"/>
      <rgbColor rgb="FFD1D9E6"/>
      <rgbColor rgb="FF878787"/>
      <rgbColor rgb="FF9999FF"/>
      <rgbColor rgb="FFC0504D"/>
      <rgbColor rgb="FFFEF9C3"/>
      <rgbColor rgb="FFDBEAFE"/>
      <rgbColor rgb="FF660066"/>
      <rgbColor rgb="FFF79646"/>
      <rgbColor rgb="FF0369A1"/>
      <rgbColor rgb="FFC5D3E8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B4D8"/>
      <rgbColor rgb="FFF0F4FA"/>
      <rgbColor rgb="FFD1FAE5"/>
      <rgbColor rgb="FFF9F9F9"/>
      <rgbColor rgb="FFD9D9D9"/>
      <rgbColor rgb="FFFF99CC"/>
      <rgbColor rgb="FFCC99FF"/>
      <rgbColor rgb="FFFEE2E2"/>
      <rgbColor rgb="FF4F81BD"/>
      <rgbColor rgb="FF4BACC6"/>
      <rgbColor rgb="FF9BBB59"/>
      <rgbColor rgb="FFFFCC00"/>
      <rgbColor rgb="FFF59E0B"/>
      <rgbColor rgb="FFB45309"/>
      <rgbColor rgb="FF64748B"/>
      <rgbColor rgb="FF8064A2"/>
      <rgbColor rgb="FF0D2561"/>
      <rgbColor rgb="FF475569"/>
      <rgbColor rgb="FF003300"/>
      <rgbColor rgb="FF374151"/>
      <rgbColor rgb="FF991B1B"/>
      <rgbColor rgb="FF854D0E"/>
      <rgbColor rgb="FF1A3C8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Participation by Track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Dashboard!$S$3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A3C8F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Dashboard!$R$4:$R$13</c:f>
              <c:strCache>
                <c:ptCount val="10"/>
                <c:pt idx="0">
                  <c:v>AI &amp; Machine Learning</c:v>
                </c:pt>
                <c:pt idx="1">
                  <c:v>Data Science</c:v>
                </c:pt>
                <c:pt idx="2">
                  <c:v>Web Development</c:v>
                </c:pt>
                <c:pt idx="3">
                  <c:v>Mobile Development</c:v>
                </c:pt>
                <c:pt idx="4">
                  <c:v>Cybersecurity</c:v>
                </c:pt>
                <c:pt idx="5">
                  <c:v>Cloud Computing</c:v>
                </c:pt>
                <c:pt idx="6">
                  <c:v>UI/UX Design</c:v>
                </c:pt>
                <c:pt idx="7">
                  <c:v>Business Technology</c:v>
                </c:pt>
                <c:pt idx="8">
                  <c:v>Embedded Systems</c:v>
                </c:pt>
                <c:pt idx="9">
                  <c:v>Other</c:v>
                </c:pt>
              </c:strCache>
            </c:strRef>
          </c:cat>
          <c:val>
            <c:numRef>
              <c:f>Dashboard!$S$4:$S$13</c:f>
              <c:numCache>
                <c:formatCode>General</c:formatCode>
                <c:ptCount val="10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6-4C95-BFBA-499012EDF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08048"/>
        <c:axId val="33958058"/>
      </c:barChart>
      <c:catAx>
        <c:axId val="572080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Track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958058"/>
        <c:crosses val="autoZero"/>
        <c:auto val="1"/>
        <c:lblAlgn val="ctr"/>
        <c:lblOffset val="100"/>
        <c:noMultiLvlLbl val="0"/>
      </c:catAx>
      <c:valAx>
        <c:axId val="339580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Participants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20804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Submission Status Distribution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Dashboard!$V$3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dPt>
            <c:idx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36-44CE-B451-8DDBDF9E9C2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2736-44CE-B451-8DDBDF9E9C2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2736-44CE-B451-8DDBDF9E9C2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2736-44CE-B451-8DDBDF9E9C2F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2736-44CE-B451-8DDBDF9E9C2F}"/>
              </c:ext>
            </c:extLst>
          </c:dPt>
          <c:dPt>
            <c:idx val="5"/>
            <c:bubble3D val="0"/>
            <c:spPr>
              <a:solidFill>
                <a:srgbClr val="F79646"/>
              </a:solidFill>
              <a:ln w="9360">
                <a:solidFill>
                  <a:srgbClr val="F9F9F9"/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2736-44CE-B451-8DDBDF9E9C2F}"/>
              </c:ext>
            </c:extLst>
          </c:dPt>
          <c:dLbls>
            <c:dLbl>
              <c:idx val="0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736-44CE-B451-8DDBDF9E9C2F}"/>
                </c:ext>
              </c:extLst>
            </c:dLbl>
            <c:dLbl>
              <c:idx val="1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736-44CE-B451-8DDBDF9E9C2F}"/>
                </c:ext>
              </c:extLst>
            </c:dLbl>
            <c:dLbl>
              <c:idx val="2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736-44CE-B451-8DDBDF9E9C2F}"/>
                </c:ext>
              </c:extLst>
            </c:dLbl>
            <c:dLbl>
              <c:idx val="3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736-44CE-B451-8DDBDF9E9C2F}"/>
                </c:ext>
              </c:extLst>
            </c:dLbl>
            <c:dLbl>
              <c:idx val="4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736-44CE-B451-8DDBDF9E9C2F}"/>
                </c:ext>
              </c:extLst>
            </c:dLbl>
            <c:dLbl>
              <c:idx val="5"/>
              <c:spPr>
                <a:ln>
                  <a:prstDash val="solid"/>
                </a:ln>
              </c:spPr>
              <c:txPr>
                <a:bodyPr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736-44CE-B451-8DDBDF9E9C2F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Dashboard!$U$4:$U$9</c:f>
              <c:strCache>
                <c:ptCount val="6"/>
                <c:pt idx="0">
                  <c:v>Winner</c:v>
                </c:pt>
                <c:pt idx="1">
                  <c:v>Finalist</c:v>
                </c:pt>
                <c:pt idx="2">
                  <c:v>Shortlisted</c:v>
                </c:pt>
                <c:pt idx="3">
                  <c:v>Under Review</c:v>
                </c:pt>
                <c:pt idx="4">
                  <c:v>Registered</c:v>
                </c:pt>
                <c:pt idx="5">
                  <c:v>Rejected</c:v>
                </c:pt>
              </c:strCache>
            </c:strRef>
          </c:cat>
          <c:val>
            <c:numRef>
              <c:f>Dashboard!$V$4:$V$9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736-44CE-B451-8DDBDF9E9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0</xdr:rowOff>
    </xdr:from>
    <xdr:to>
      <xdr:col>6</xdr:col>
      <xdr:colOff>558720</xdr:colOff>
      <xdr:row>46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14</xdr:col>
      <xdr:colOff>105840</xdr:colOff>
      <xdr:row>46</xdr:row>
      <xdr:rowOff>128520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C8F"/>
  </sheetPr>
  <dimension ref="A1:AQ16"/>
  <sheetViews>
    <sheetView showGridLines="0" tabSelected="1" zoomScaleNormal="100" workbookViewId="0">
      <pane xSplit="3" ySplit="4" topLeftCell="R6" activePane="bottomRight" state="frozen"/>
      <selection pane="topRight" activeCell="G1" sqref="G1"/>
      <selection pane="bottomLeft" activeCell="A5" sqref="A5"/>
      <selection pane="bottomRight" activeCell="O6" sqref="O6"/>
    </sheetView>
  </sheetViews>
  <sheetFormatPr defaultColWidth="8.6328125" defaultRowHeight="14.5" x14ac:dyDescent="0.35"/>
  <cols>
    <col min="1" max="1" width="12" style="12" customWidth="1"/>
    <col min="2" max="2" width="14" style="12" customWidth="1"/>
    <col min="3" max="3" width="14.26953125" style="12" bestFit="1" customWidth="1"/>
    <col min="4" max="4" width="22" style="12" customWidth="1"/>
    <col min="5" max="5" width="28" style="12" customWidth="1"/>
    <col min="6" max="6" width="16" style="12" customWidth="1"/>
    <col min="7" max="7" width="22" style="12" customWidth="1"/>
    <col min="8" max="8" width="24" style="12" customWidth="1"/>
    <col min="9" max="9" width="20" style="12" customWidth="1"/>
    <col min="10" max="10" width="32" style="12" customWidth="1"/>
    <col min="11" max="11" width="30" style="12" customWidth="1"/>
    <col min="12" max="12" width="18" style="12" customWidth="1"/>
    <col min="13" max="13" width="22" style="12" customWidth="1"/>
    <col min="14" max="14" width="16" style="12" customWidth="1"/>
    <col min="15" max="15" width="12" style="12" customWidth="1"/>
    <col min="16" max="16" width="16" style="12" customWidth="1"/>
    <col min="17" max="18" width="14" style="12" customWidth="1"/>
    <col min="19" max="19" width="18" style="12" customWidth="1"/>
    <col min="20" max="21" width="14" style="12" customWidth="1"/>
    <col min="22" max="22" width="60.6328125" style="12" bestFit="1" customWidth="1"/>
    <col min="23" max="23" width="36" style="12" customWidth="1"/>
    <col min="24" max="24" width="28" style="12" customWidth="1"/>
    <col min="25" max="25" width="18" style="12" customWidth="1"/>
    <col min="26" max="26" width="12" style="12" customWidth="1"/>
    <col min="27" max="27" width="14" style="12" customWidth="1"/>
    <col min="28" max="28" width="22" style="12" customWidth="1"/>
    <col min="29" max="29" width="28" style="12" customWidth="1"/>
    <col min="30" max="30" width="16" style="12" customWidth="1"/>
    <col min="31" max="31" width="18" style="12" customWidth="1"/>
    <col min="32" max="32" width="14" style="12" customWidth="1"/>
    <col min="33" max="33" width="10" style="12" customWidth="1"/>
    <col min="34" max="34" width="14" style="12" customWidth="1"/>
    <col min="35" max="40" width="28" style="12" customWidth="1"/>
    <col min="41" max="41" width="30" style="12" customWidth="1"/>
    <col min="42" max="42" width="14" style="12" customWidth="1"/>
  </cols>
  <sheetData>
    <row r="1" spans="1:43" ht="36" customHeight="1" x14ac:dyDescent="0.35">
      <c r="A1" s="27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</row>
    <row r="2" spans="1:43" ht="18" customHeight="1" x14ac:dyDescent="0.35">
      <c r="A2" s="24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</row>
    <row r="3" spans="1:43" ht="19.5" customHeight="1" x14ac:dyDescent="0.35">
      <c r="A3" s="32" t="s">
        <v>2</v>
      </c>
      <c r="B3" s="22"/>
      <c r="C3" s="22"/>
      <c r="D3" s="28" t="s">
        <v>3</v>
      </c>
      <c r="E3" s="22"/>
      <c r="F3" s="22"/>
      <c r="G3" s="22"/>
      <c r="H3" s="22"/>
      <c r="I3" s="22"/>
      <c r="J3" s="33" t="s">
        <v>4</v>
      </c>
      <c r="K3" s="22"/>
      <c r="L3" s="22"/>
      <c r="M3" s="22"/>
      <c r="N3" s="22"/>
      <c r="O3" s="22"/>
      <c r="P3" s="22"/>
      <c r="Q3" s="22"/>
      <c r="R3" s="29" t="s">
        <v>5</v>
      </c>
      <c r="S3" s="22"/>
      <c r="T3" s="22"/>
      <c r="U3" s="22"/>
      <c r="V3" s="23" t="s">
        <v>6</v>
      </c>
      <c r="W3" s="22"/>
      <c r="X3" s="22"/>
      <c r="Y3" s="22"/>
      <c r="Z3" s="22"/>
      <c r="AA3" s="30" t="s">
        <v>7</v>
      </c>
      <c r="AB3" s="22"/>
      <c r="AC3" s="22"/>
      <c r="AD3" s="25" t="s">
        <v>8</v>
      </c>
      <c r="AE3" s="22"/>
      <c r="AF3" s="22"/>
      <c r="AG3" s="22"/>
      <c r="AH3" s="26" t="s">
        <v>9</v>
      </c>
      <c r="AI3" s="22"/>
      <c r="AJ3" s="22"/>
      <c r="AK3" s="22"/>
      <c r="AL3" s="31" t="s">
        <v>10</v>
      </c>
      <c r="AM3" s="22"/>
      <c r="AN3" s="22"/>
      <c r="AO3" s="22"/>
      <c r="AP3" s="21" t="s">
        <v>11</v>
      </c>
      <c r="AQ3" s="22"/>
    </row>
    <row r="4" spans="1:43" ht="30" customHeight="1" x14ac:dyDescent="0.35">
      <c r="A4" s="1" t="s">
        <v>12</v>
      </c>
      <c r="B4" s="1" t="s">
        <v>13</v>
      </c>
      <c r="C4" s="1" t="s">
        <v>14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  <c r="T4" s="1" t="s">
        <v>32</v>
      </c>
      <c r="U4" s="1" t="s">
        <v>33</v>
      </c>
      <c r="V4" s="1" t="s">
        <v>34</v>
      </c>
      <c r="W4" s="1" t="s">
        <v>35</v>
      </c>
      <c r="X4" s="1" t="s">
        <v>36</v>
      </c>
      <c r="Y4" s="1" t="s">
        <v>37</v>
      </c>
      <c r="Z4" s="1" t="s">
        <v>38</v>
      </c>
      <c r="AA4" s="1" t="s">
        <v>39</v>
      </c>
      <c r="AB4" s="1" t="s">
        <v>40</v>
      </c>
      <c r="AC4" s="1" t="s">
        <v>41</v>
      </c>
      <c r="AD4" s="1" t="s">
        <v>42</v>
      </c>
      <c r="AE4" s="1" t="s">
        <v>43</v>
      </c>
      <c r="AF4" s="1" t="s">
        <v>44</v>
      </c>
      <c r="AG4" s="1" t="s">
        <v>45</v>
      </c>
      <c r="AH4" s="1" t="s">
        <v>46</v>
      </c>
      <c r="AI4" s="1" t="s">
        <v>47</v>
      </c>
      <c r="AJ4" s="1" t="s">
        <v>48</v>
      </c>
      <c r="AK4" s="1" t="s">
        <v>49</v>
      </c>
      <c r="AL4" s="1" t="s">
        <v>50</v>
      </c>
      <c r="AM4" s="1" t="s">
        <v>51</v>
      </c>
      <c r="AN4" s="1" t="s">
        <v>52</v>
      </c>
      <c r="AO4" s="1" t="s">
        <v>53</v>
      </c>
      <c r="AP4" s="1" t="s">
        <v>54</v>
      </c>
    </row>
    <row r="5" spans="1:43" ht="175" x14ac:dyDescent="0.35">
      <c r="A5" s="2" t="str">
        <f>IF(B5&lt;&gt;"","SUB-"&amp;TEXT(ROW()+6,"0000"),"")</f>
        <v>SUB-0011</v>
      </c>
      <c r="B5" s="3" t="s">
        <v>55</v>
      </c>
      <c r="C5" s="2" t="s">
        <v>56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65</v>
      </c>
      <c r="K5" s="2" t="s">
        <v>66</v>
      </c>
      <c r="L5" s="2" t="s">
        <v>67</v>
      </c>
      <c r="M5" s="2" t="s">
        <v>62</v>
      </c>
      <c r="N5" s="2" t="s">
        <v>68</v>
      </c>
      <c r="O5" s="2" t="s">
        <v>231</v>
      </c>
      <c r="P5" s="2" t="s">
        <v>70</v>
      </c>
      <c r="Q5" s="2" t="s">
        <v>71</v>
      </c>
      <c r="R5" s="3" t="s">
        <v>72</v>
      </c>
      <c r="S5" s="3" t="s">
        <v>73</v>
      </c>
      <c r="T5" s="2" t="str">
        <f ca="1">IF(S5="","N/A",IF(S5&lt;TODAY(),"⛔ Expired",IF(S5-TODAY()&lt;=7,"⚠️ Soon","✅ Open")))</f>
        <v>✅ Open</v>
      </c>
      <c r="U5" s="4">
        <f ca="1">IF(S5="","",MAX(0,S5-TODAY()))</f>
        <v>66</v>
      </c>
      <c r="V5" s="2" t="s">
        <v>74</v>
      </c>
      <c r="W5" s="2" t="s">
        <v>75</v>
      </c>
      <c r="X5" s="2" t="s">
        <v>76</v>
      </c>
      <c r="Y5" s="2" t="s">
        <v>77</v>
      </c>
      <c r="Z5" s="2">
        <v>5</v>
      </c>
      <c r="AA5" s="2" t="s">
        <v>78</v>
      </c>
      <c r="AB5" s="2" t="s">
        <v>59</v>
      </c>
      <c r="AC5" s="2" t="s">
        <v>60</v>
      </c>
      <c r="AD5" s="2" t="s">
        <v>61</v>
      </c>
      <c r="AE5" s="2" t="s">
        <v>79</v>
      </c>
      <c r="AF5" s="2" t="s">
        <v>80</v>
      </c>
      <c r="AG5" s="2" t="s">
        <v>81</v>
      </c>
      <c r="AH5" s="2" t="s">
        <v>71</v>
      </c>
      <c r="AI5" s="2"/>
      <c r="AJ5" s="2" t="s">
        <v>82</v>
      </c>
      <c r="AK5" s="2" t="s">
        <v>83</v>
      </c>
      <c r="AL5" s="2"/>
      <c r="AM5" s="2"/>
      <c r="AN5" s="2"/>
      <c r="AO5" s="2" t="s">
        <v>84</v>
      </c>
      <c r="AP5" s="5">
        <f>COUNTA(D5:E5,J5,V5,AE5)/5</f>
        <v>1</v>
      </c>
      <c r="AQ5" s="2"/>
    </row>
    <row r="6" spans="1:43" ht="187.5" x14ac:dyDescent="0.35">
      <c r="A6" s="2" t="str">
        <f>IF(B6&lt;&gt;"","SUB-"&amp;TEXT(ROW()+6,"0000"),"")</f>
        <v>SUB-0012</v>
      </c>
      <c r="B6" s="3" t="s">
        <v>55</v>
      </c>
      <c r="C6" s="2" t="s">
        <v>56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63</v>
      </c>
      <c r="I6" s="2" t="s">
        <v>64</v>
      </c>
      <c r="J6" s="2" t="s">
        <v>85</v>
      </c>
      <c r="K6" s="2" t="s">
        <v>66</v>
      </c>
      <c r="L6" s="2" t="s">
        <v>67</v>
      </c>
      <c r="M6" s="2" t="s">
        <v>62</v>
      </c>
      <c r="N6" s="2" t="s">
        <v>68</v>
      </c>
      <c r="O6" s="2" t="s">
        <v>231</v>
      </c>
      <c r="P6" s="2" t="s">
        <v>70</v>
      </c>
      <c r="Q6" s="2" t="s">
        <v>71</v>
      </c>
      <c r="R6" s="3" t="s">
        <v>72</v>
      </c>
      <c r="S6" s="3" t="s">
        <v>73</v>
      </c>
      <c r="T6" s="2" t="str">
        <f ca="1">IF(S6="","N/A",IF(S6&lt;TODAY(),"⛔ Expired",IF(S6-TODAY()&lt;=7,"⚠️ Soon","✅ Open")))</f>
        <v>✅ Open</v>
      </c>
      <c r="U6" s="4">
        <f ca="1">IF(S6="","",MAX(0,S6-TODAY()))</f>
        <v>66</v>
      </c>
      <c r="V6" s="2" t="s">
        <v>74</v>
      </c>
      <c r="W6" s="2" t="s">
        <v>75</v>
      </c>
      <c r="X6" s="2" t="s">
        <v>76</v>
      </c>
      <c r="Y6" s="2" t="s">
        <v>77</v>
      </c>
      <c r="Z6" s="2">
        <v>5</v>
      </c>
      <c r="AA6" s="2" t="s">
        <v>78</v>
      </c>
      <c r="AB6" s="2" t="s">
        <v>59</v>
      </c>
      <c r="AC6" s="2" t="s">
        <v>60</v>
      </c>
      <c r="AD6" s="2" t="s">
        <v>61</v>
      </c>
      <c r="AE6" s="2" t="s">
        <v>79</v>
      </c>
      <c r="AF6" s="2" t="s">
        <v>80</v>
      </c>
      <c r="AG6" s="2" t="s">
        <v>81</v>
      </c>
      <c r="AH6" s="2" t="s">
        <v>71</v>
      </c>
      <c r="AI6" s="2"/>
      <c r="AJ6" s="2" t="s">
        <v>82</v>
      </c>
      <c r="AK6" s="2" t="s">
        <v>83</v>
      </c>
      <c r="AL6" s="2"/>
      <c r="AM6" s="2"/>
      <c r="AN6" s="2"/>
      <c r="AO6" s="2" t="s">
        <v>86</v>
      </c>
      <c r="AP6" s="5">
        <f>COUNTA(D6:E6,J6,V6,AE6)/5</f>
        <v>1</v>
      </c>
      <c r="AQ6" s="2"/>
    </row>
    <row r="7" spans="1:43" ht="18" customHeight="1" x14ac:dyDescent="0.35"/>
    <row r="8" spans="1:43" ht="18" customHeight="1" x14ac:dyDescent="0.35"/>
    <row r="9" spans="1:43" ht="18" customHeight="1" x14ac:dyDescent="0.35"/>
    <row r="10" spans="1:43" ht="18" customHeight="1" x14ac:dyDescent="0.35"/>
    <row r="11" spans="1:43" ht="18" customHeight="1" x14ac:dyDescent="0.35"/>
    <row r="12" spans="1:43" ht="18" customHeight="1" x14ac:dyDescent="0.35"/>
    <row r="13" spans="1:43" ht="18" customHeight="1" x14ac:dyDescent="0.35"/>
    <row r="14" spans="1:43" ht="18" customHeight="1" x14ac:dyDescent="0.35"/>
    <row r="15" spans="1:43" ht="18" customHeight="1" x14ac:dyDescent="0.35"/>
    <row r="16" spans="1:43" ht="18" customHeight="1" x14ac:dyDescent="0.35"/>
  </sheetData>
  <autoFilter ref="A4:AP4" xr:uid="{00000000-0009-0000-0000-000000000000}"/>
  <mergeCells count="12">
    <mergeCell ref="A1:AO1"/>
    <mergeCell ref="D3:I3"/>
    <mergeCell ref="R3:U3"/>
    <mergeCell ref="AA3:AC3"/>
    <mergeCell ref="AL3:AO3"/>
    <mergeCell ref="A3:C3"/>
    <mergeCell ref="J3:Q3"/>
    <mergeCell ref="AP3:AQ3"/>
    <mergeCell ref="V3:Z3"/>
    <mergeCell ref="A2:AO2"/>
    <mergeCell ref="AD3:AG3"/>
    <mergeCell ref="AH3:AK3"/>
  </mergeCells>
  <conditionalFormatting sqref="E5:E2000">
    <cfRule type="expression" dxfId="15" priority="6">
      <formula>E5=""</formula>
    </cfRule>
  </conditionalFormatting>
  <conditionalFormatting sqref="K5:K2000">
    <cfRule type="expression" dxfId="14" priority="8">
      <formula>K5=""</formula>
    </cfRule>
  </conditionalFormatting>
  <conditionalFormatting sqref="S5:S2000">
    <cfRule type="expression" dxfId="13" priority="7">
      <formula>AND(S5&lt;&gt;"",S5&lt;TODAY())</formula>
    </cfRule>
  </conditionalFormatting>
  <conditionalFormatting sqref="AE5:AE2000">
    <cfRule type="expression" dxfId="12" priority="2">
      <formula>AE5="Winner"</formula>
    </cfRule>
    <cfRule type="expression" dxfId="11" priority="3">
      <formula>AE5="Finalist"</formula>
    </cfRule>
    <cfRule type="expression" dxfId="10" priority="4">
      <formula>AE5="Rejected"</formula>
    </cfRule>
    <cfRule type="expression" dxfId="9" priority="5">
      <formula>AE5="Shortlisted"</formula>
    </cfRule>
  </conditionalFormatting>
  <dataValidations count="3">
    <dataValidation type="list" allowBlank="1" sqref="AE5:AE1014" xr:uid="{00000000-0002-0000-0000-000000000000}">
      <formula1>"Registered,Team Formed,Idea Submitted,Proposal Submitted,MVP Completed,Under Review,Shortlisted,Top 100,Top 50,Top 20,Finalist,Winner,Rejected"</formula1>
      <formula2>0</formula2>
    </dataValidation>
    <dataValidation type="list" allowBlank="1" sqref="O5:O1014" xr:uid="{00000000-0002-0000-0000-000001000000}">
      <formula1>"Online,Offline,Hybrid"</formula1>
      <formula2>0</formula2>
    </dataValidation>
    <dataValidation type="list" allowBlank="1" sqref="AA5:AA1014" xr:uid="{00000000-0002-0000-00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4D8"/>
  </sheetPr>
  <dimension ref="A1:N24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5" sqref="A5:XFD5"/>
    </sheetView>
  </sheetViews>
  <sheetFormatPr defaultColWidth="8.6328125" defaultRowHeight="14.5" x14ac:dyDescent="0.35"/>
  <cols>
    <col min="1" max="1" width="12" style="12" customWidth="1"/>
    <col min="2" max="2" width="36" style="12" customWidth="1"/>
    <col min="3" max="3" width="22" style="12" customWidth="1"/>
    <col min="4" max="4" width="24" style="12" customWidth="1"/>
    <col min="5" max="5" width="28" style="12" customWidth="1"/>
    <col min="6" max="6" width="16" style="12" customWidth="1"/>
    <col min="7" max="7" width="24" style="12" customWidth="1"/>
    <col min="8" max="8" width="16" style="12" customWidth="1"/>
    <col min="9" max="10" width="30" style="12" customWidth="1"/>
    <col min="11" max="11" width="28" style="12" customWidth="1"/>
    <col min="12" max="12" width="12" style="12" customWidth="1"/>
  </cols>
  <sheetData>
    <row r="1" spans="1:14" ht="36" customHeight="1" x14ac:dyDescent="0.35">
      <c r="A1" s="27" t="s">
        <v>87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18" customHeight="1" x14ac:dyDescent="0.35">
      <c r="A2" s="24" t="s">
        <v>88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4" spans="1:14" ht="24.75" customHeight="1" x14ac:dyDescent="0.35">
      <c r="A4" s="6" t="s">
        <v>89</v>
      </c>
      <c r="B4" s="7" t="s">
        <v>22</v>
      </c>
      <c r="C4" s="6" t="s">
        <v>37</v>
      </c>
      <c r="D4" s="7" t="s">
        <v>90</v>
      </c>
      <c r="E4" s="6" t="s">
        <v>91</v>
      </c>
      <c r="F4" s="7" t="s">
        <v>92</v>
      </c>
      <c r="G4" s="6" t="s">
        <v>19</v>
      </c>
      <c r="H4" s="7" t="s">
        <v>93</v>
      </c>
      <c r="I4" s="6" t="s">
        <v>94</v>
      </c>
      <c r="J4" s="7" t="s">
        <v>95</v>
      </c>
      <c r="K4" s="6" t="s">
        <v>96</v>
      </c>
      <c r="L4" s="7" t="s">
        <v>97</v>
      </c>
    </row>
    <row r="5" spans="1:14" ht="25" x14ac:dyDescent="0.35">
      <c r="A5" s="2" t="str">
        <f t="shared" ref="A5:A14" si="0">IF(C5&lt;&gt;"","TM-"&amp;TEXT(ROW()+6,"0000"),"")</f>
        <v>TM-0011</v>
      </c>
      <c r="B5" s="2" t="s">
        <v>65</v>
      </c>
      <c r="C5" s="2" t="s">
        <v>77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98</v>
      </c>
      <c r="I5" s="2" t="s">
        <v>99</v>
      </c>
      <c r="J5" s="2"/>
      <c r="K5" s="2"/>
      <c r="L5" s="2" t="s">
        <v>78</v>
      </c>
      <c r="M5" s="2"/>
      <c r="N5" s="2"/>
    </row>
    <row r="6" spans="1:14" ht="25" x14ac:dyDescent="0.35">
      <c r="A6" s="2" t="str">
        <f t="shared" si="0"/>
        <v>TM-0012</v>
      </c>
      <c r="B6" s="2" t="s">
        <v>85</v>
      </c>
      <c r="C6" s="2" t="s">
        <v>77</v>
      </c>
      <c r="D6" s="2" t="s">
        <v>59</v>
      </c>
      <c r="E6" s="2" t="s">
        <v>60</v>
      </c>
      <c r="F6" s="2" t="s">
        <v>61</v>
      </c>
      <c r="G6" s="2" t="s">
        <v>62</v>
      </c>
      <c r="H6" s="2" t="s">
        <v>98</v>
      </c>
      <c r="I6" s="2" t="s">
        <v>99</v>
      </c>
      <c r="J6" s="2"/>
      <c r="K6" s="2"/>
      <c r="L6" s="2" t="s">
        <v>78</v>
      </c>
      <c r="M6" s="2"/>
      <c r="N6" s="2"/>
    </row>
    <row r="7" spans="1:14" ht="18" customHeight="1" x14ac:dyDescent="0.35">
      <c r="A7" s="2" t="str">
        <f t="shared" si="0"/>
        <v>TM-0013</v>
      </c>
      <c r="B7" s="2" t="s">
        <v>65</v>
      </c>
      <c r="C7" s="2" t="s">
        <v>77</v>
      </c>
      <c r="D7" s="2" t="s">
        <v>100</v>
      </c>
      <c r="E7" s="2" t="s">
        <v>101</v>
      </c>
      <c r="F7" s="2" t="s">
        <v>102</v>
      </c>
      <c r="G7" s="2" t="s">
        <v>62</v>
      </c>
      <c r="H7" s="2" t="s">
        <v>103</v>
      </c>
      <c r="I7" s="2" t="s">
        <v>104</v>
      </c>
      <c r="J7" s="2"/>
      <c r="K7" s="2"/>
      <c r="L7" s="2" t="s">
        <v>78</v>
      </c>
      <c r="M7" s="2"/>
      <c r="N7" s="2"/>
    </row>
    <row r="8" spans="1:14" ht="18" customHeight="1" x14ac:dyDescent="0.35">
      <c r="A8" s="2" t="str">
        <f t="shared" si="0"/>
        <v>TM-0014</v>
      </c>
      <c r="B8" s="2" t="s">
        <v>85</v>
      </c>
      <c r="C8" s="2" t="s">
        <v>77</v>
      </c>
      <c r="D8" s="2" t="s">
        <v>100</v>
      </c>
      <c r="E8" s="2" t="s">
        <v>101</v>
      </c>
      <c r="F8" s="2" t="s">
        <v>102</v>
      </c>
      <c r="G8" s="2" t="s">
        <v>62</v>
      </c>
      <c r="H8" s="2" t="s">
        <v>103</v>
      </c>
      <c r="I8" s="2" t="s">
        <v>104</v>
      </c>
      <c r="J8" s="2"/>
      <c r="K8" s="2"/>
      <c r="L8" s="2" t="s">
        <v>78</v>
      </c>
      <c r="M8" s="2"/>
      <c r="N8" s="2"/>
    </row>
    <row r="9" spans="1:14" ht="18" customHeight="1" x14ac:dyDescent="0.35">
      <c r="A9" s="2" t="str">
        <f t="shared" si="0"/>
        <v>TM-0015</v>
      </c>
      <c r="B9" s="2" t="s">
        <v>65</v>
      </c>
      <c r="C9" s="2" t="s">
        <v>77</v>
      </c>
      <c r="D9" s="2" t="s">
        <v>105</v>
      </c>
      <c r="E9" s="2" t="s">
        <v>106</v>
      </c>
      <c r="F9" s="2" t="s">
        <v>107</v>
      </c>
      <c r="G9" s="2" t="s">
        <v>62</v>
      </c>
      <c r="H9" s="2" t="s">
        <v>103</v>
      </c>
      <c r="I9" s="2" t="s">
        <v>108</v>
      </c>
      <c r="J9" s="2"/>
      <c r="K9" s="2"/>
      <c r="L9" s="2" t="s">
        <v>78</v>
      </c>
      <c r="M9" s="2"/>
      <c r="N9" s="2"/>
    </row>
    <row r="10" spans="1:14" ht="18" customHeight="1" x14ac:dyDescent="0.35">
      <c r="A10" s="2" t="str">
        <f t="shared" si="0"/>
        <v>TM-0016</v>
      </c>
      <c r="B10" s="2" t="s">
        <v>85</v>
      </c>
      <c r="C10" s="2" t="s">
        <v>77</v>
      </c>
      <c r="D10" s="2" t="s">
        <v>105</v>
      </c>
      <c r="E10" s="2" t="s">
        <v>106</v>
      </c>
      <c r="F10" s="2" t="s">
        <v>107</v>
      </c>
      <c r="G10" s="2" t="s">
        <v>62</v>
      </c>
      <c r="H10" s="2" t="s">
        <v>103</v>
      </c>
      <c r="I10" s="2" t="s">
        <v>108</v>
      </c>
      <c r="J10" s="2"/>
      <c r="K10" s="2"/>
      <c r="L10" s="2" t="s">
        <v>78</v>
      </c>
      <c r="M10" s="2"/>
      <c r="N10" s="2"/>
    </row>
    <row r="11" spans="1:14" ht="25" x14ac:dyDescent="0.35">
      <c r="A11" s="2" t="str">
        <f t="shared" si="0"/>
        <v>TM-0017</v>
      </c>
      <c r="B11" s="2" t="s">
        <v>65</v>
      </c>
      <c r="C11" s="2" t="s">
        <v>77</v>
      </c>
      <c r="D11" s="2" t="s">
        <v>109</v>
      </c>
      <c r="E11" s="2" t="s">
        <v>110</v>
      </c>
      <c r="F11" s="2" t="s">
        <v>111</v>
      </c>
      <c r="G11" s="2" t="s">
        <v>62</v>
      </c>
      <c r="H11" s="2" t="s">
        <v>112</v>
      </c>
      <c r="I11" s="2" t="s">
        <v>113</v>
      </c>
      <c r="J11" s="2"/>
      <c r="K11" s="2"/>
      <c r="L11" s="2" t="s">
        <v>78</v>
      </c>
      <c r="M11" s="2"/>
      <c r="N11" s="2"/>
    </row>
    <row r="12" spans="1:14" ht="18" customHeight="1" x14ac:dyDescent="0.35">
      <c r="A12" s="2" t="str">
        <f t="shared" si="0"/>
        <v>TM-0018</v>
      </c>
      <c r="B12" s="2" t="s">
        <v>85</v>
      </c>
      <c r="C12" s="2" t="s">
        <v>77</v>
      </c>
      <c r="D12" s="2" t="s">
        <v>109</v>
      </c>
      <c r="E12" s="2" t="s">
        <v>110</v>
      </c>
      <c r="F12" s="2" t="s">
        <v>111</v>
      </c>
      <c r="G12" s="2" t="s">
        <v>62</v>
      </c>
      <c r="H12" s="2" t="s">
        <v>112</v>
      </c>
      <c r="I12" s="2" t="s">
        <v>113</v>
      </c>
      <c r="J12" s="2"/>
      <c r="K12" s="2"/>
      <c r="L12" s="2" t="s">
        <v>78</v>
      </c>
      <c r="M12" s="2"/>
      <c r="N12" s="2"/>
    </row>
    <row r="13" spans="1:14" ht="18" customHeight="1" x14ac:dyDescent="0.35">
      <c r="A13" s="2" t="str">
        <f t="shared" si="0"/>
        <v>TM-0019</v>
      </c>
      <c r="B13" s="2" t="s">
        <v>65</v>
      </c>
      <c r="C13" s="2" t="s">
        <v>77</v>
      </c>
      <c r="D13" s="2" t="s">
        <v>114</v>
      </c>
      <c r="E13" s="2" t="s">
        <v>115</v>
      </c>
      <c r="F13" s="2" t="s">
        <v>116</v>
      </c>
      <c r="G13" s="2" t="s">
        <v>62</v>
      </c>
      <c r="H13" s="2" t="s">
        <v>117</v>
      </c>
      <c r="I13" s="2" t="s">
        <v>118</v>
      </c>
      <c r="J13" s="2"/>
      <c r="K13" s="2"/>
      <c r="L13" s="2" t="s">
        <v>78</v>
      </c>
      <c r="M13" s="2"/>
      <c r="N13" s="2"/>
    </row>
    <row r="14" spans="1:14" ht="18" customHeight="1" x14ac:dyDescent="0.35">
      <c r="A14" s="2" t="str">
        <f t="shared" si="0"/>
        <v>TM-0020</v>
      </c>
      <c r="B14" s="2" t="s">
        <v>85</v>
      </c>
      <c r="C14" s="2" t="s">
        <v>77</v>
      </c>
      <c r="D14" s="2" t="s">
        <v>114</v>
      </c>
      <c r="E14" s="2" t="s">
        <v>115</v>
      </c>
      <c r="F14" s="2" t="s">
        <v>116</v>
      </c>
      <c r="G14" s="2" t="s">
        <v>62</v>
      </c>
      <c r="H14" s="2" t="s">
        <v>117</v>
      </c>
      <c r="I14" s="2" t="s">
        <v>118</v>
      </c>
      <c r="J14" s="2"/>
      <c r="K14" s="2"/>
      <c r="L14" s="2" t="s">
        <v>78</v>
      </c>
      <c r="M14" s="2"/>
      <c r="N14" s="2"/>
    </row>
    <row r="15" spans="1:14" ht="18" customHeight="1" x14ac:dyDescent="0.35"/>
    <row r="16" spans="1:14" ht="18" customHeight="1" x14ac:dyDescent="0.35"/>
    <row r="17" ht="18" customHeight="1" x14ac:dyDescent="0.35"/>
    <row r="18" ht="18" customHeight="1" x14ac:dyDescent="0.35"/>
    <row r="19" ht="18" customHeight="1" x14ac:dyDescent="0.35"/>
    <row r="20" ht="18" customHeight="1" x14ac:dyDescent="0.35"/>
    <row r="21" ht="18" customHeight="1" x14ac:dyDescent="0.35"/>
    <row r="22" ht="18" customHeight="1" x14ac:dyDescent="0.35"/>
    <row r="23" ht="18" customHeight="1" x14ac:dyDescent="0.35"/>
    <row r="24" ht="18" customHeight="1" x14ac:dyDescent="0.35"/>
  </sheetData>
  <autoFilter ref="A4:L4" xr:uid="{00000000-0009-0000-0000-000001000000}"/>
  <mergeCells count="2">
    <mergeCell ref="A2:N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7490"/>
  </sheetPr>
  <dimension ref="A1:O16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"/>
    </sheetView>
  </sheetViews>
  <sheetFormatPr defaultColWidth="8.6328125" defaultRowHeight="14.5" x14ac:dyDescent="0.35"/>
  <cols>
    <col min="1" max="1" width="14" style="12" customWidth="1"/>
    <col min="2" max="2" width="36" style="12" customWidth="1"/>
    <col min="3" max="3" width="20" style="12" customWidth="1"/>
    <col min="4" max="5" width="36" style="12" customWidth="1"/>
    <col min="6" max="6" width="24" style="12" customWidth="1"/>
    <col min="7" max="7" width="16" style="12" customWidth="1"/>
    <col min="8" max="8" width="12" style="12" customWidth="1"/>
    <col min="9" max="9" width="14" style="12" customWidth="1"/>
    <col min="10" max="10" width="16" style="12" customWidth="1"/>
    <col min="11" max="11" width="18" style="12" customWidth="1"/>
    <col min="12" max="12" width="16" style="12" customWidth="1"/>
    <col min="13" max="13" width="30" style="12" customWidth="1"/>
    <col min="14" max="14" width="12" style="12" customWidth="1"/>
    <col min="15" max="15" width="30" style="12" customWidth="1"/>
  </cols>
  <sheetData>
    <row r="1" spans="1:15" ht="36" customHeight="1" x14ac:dyDescent="0.35">
      <c r="A1" s="27" t="s">
        <v>119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18" customHeight="1" x14ac:dyDescent="0.35">
      <c r="A2" s="24" t="s">
        <v>120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4" spans="1:15" ht="27.75" customHeight="1" x14ac:dyDescent="0.35">
      <c r="A4" s="8" t="s">
        <v>121</v>
      </c>
      <c r="B4" s="8" t="s">
        <v>22</v>
      </c>
      <c r="C4" s="8" t="s">
        <v>24</v>
      </c>
      <c r="D4" s="8" t="s">
        <v>122</v>
      </c>
      <c r="E4" s="8" t="s">
        <v>123</v>
      </c>
      <c r="F4" s="8" t="s">
        <v>124</v>
      </c>
      <c r="G4" s="8" t="s">
        <v>125</v>
      </c>
      <c r="H4" s="8" t="s">
        <v>126</v>
      </c>
      <c r="I4" s="8" t="s">
        <v>127</v>
      </c>
      <c r="J4" s="8" t="s">
        <v>128</v>
      </c>
      <c r="K4" s="8" t="s">
        <v>31</v>
      </c>
      <c r="L4" s="8" t="s">
        <v>129</v>
      </c>
      <c r="M4" s="8" t="s">
        <v>130</v>
      </c>
      <c r="N4" s="8" t="s">
        <v>131</v>
      </c>
      <c r="O4" s="8" t="s">
        <v>53</v>
      </c>
    </row>
    <row r="5" spans="1:15" ht="18" customHeight="1" x14ac:dyDescent="0.35">
      <c r="A5" s="2" t="str">
        <f>IF(B5&lt;&gt;"","COMP-"&amp;TEXT(ROW()+6,"0000"),"")</f>
        <v>COMP-0011</v>
      </c>
      <c r="B5" s="2" t="s">
        <v>65</v>
      </c>
      <c r="C5" s="2" t="s">
        <v>67</v>
      </c>
      <c r="D5" s="2" t="s">
        <v>66</v>
      </c>
      <c r="E5" s="2" t="s">
        <v>132</v>
      </c>
      <c r="F5" s="2" t="s">
        <v>62</v>
      </c>
      <c r="G5" s="2" t="s">
        <v>68</v>
      </c>
      <c r="H5" s="2" t="s">
        <v>69</v>
      </c>
      <c r="I5" s="3" t="s">
        <v>133</v>
      </c>
      <c r="J5" s="3" t="s">
        <v>134</v>
      </c>
      <c r="K5" s="3" t="s">
        <v>135</v>
      </c>
      <c r="L5" s="2" t="s">
        <v>71</v>
      </c>
      <c r="M5" s="2" t="s">
        <v>136</v>
      </c>
      <c r="N5" s="2" t="s">
        <v>137</v>
      </c>
      <c r="O5" s="2" t="s">
        <v>138</v>
      </c>
    </row>
    <row r="6" spans="1:15" ht="18" customHeight="1" x14ac:dyDescent="0.35">
      <c r="A6" s="2" t="str">
        <f>IF(B6&lt;&gt;"","COMP-"&amp;TEXT(ROW()+6,"0000"),"")</f>
        <v>COMP-0012</v>
      </c>
      <c r="B6" s="2" t="s">
        <v>85</v>
      </c>
      <c r="C6" s="2" t="s">
        <v>67</v>
      </c>
      <c r="D6" s="2" t="s">
        <v>66</v>
      </c>
      <c r="E6" s="2" t="s">
        <v>132</v>
      </c>
      <c r="F6" s="2" t="s">
        <v>62</v>
      </c>
      <c r="G6" s="2" t="s">
        <v>68</v>
      </c>
      <c r="H6" s="2" t="s">
        <v>69</v>
      </c>
      <c r="I6" s="3" t="s">
        <v>133</v>
      </c>
      <c r="J6" s="3" t="s">
        <v>134</v>
      </c>
      <c r="K6" s="3" t="s">
        <v>135</v>
      </c>
      <c r="L6" s="2" t="s">
        <v>71</v>
      </c>
      <c r="M6" s="2" t="s">
        <v>136</v>
      </c>
      <c r="N6" s="2" t="s">
        <v>137</v>
      </c>
      <c r="O6" s="2" t="s">
        <v>139</v>
      </c>
    </row>
    <row r="7" spans="1:15" ht="18" customHeight="1" x14ac:dyDescent="0.35"/>
    <row r="8" spans="1:15" ht="18" customHeight="1" x14ac:dyDescent="0.35"/>
    <row r="9" spans="1:15" ht="18" customHeight="1" x14ac:dyDescent="0.35"/>
    <row r="10" spans="1:15" ht="18" customHeight="1" x14ac:dyDescent="0.35"/>
    <row r="11" spans="1:15" ht="18" customHeight="1" x14ac:dyDescent="0.35"/>
    <row r="12" spans="1:15" ht="18" customHeight="1" x14ac:dyDescent="0.35"/>
    <row r="13" spans="1:15" ht="18" customHeight="1" x14ac:dyDescent="0.35"/>
    <row r="14" spans="1:15" ht="18" customHeight="1" x14ac:dyDescent="0.35"/>
    <row r="15" spans="1:15" ht="18" customHeight="1" x14ac:dyDescent="0.35"/>
    <row r="16" spans="1:15" ht="18" customHeight="1" x14ac:dyDescent="0.35"/>
  </sheetData>
  <autoFilter ref="A4:O4" xr:uid="{00000000-0009-0000-0000-000002000000}"/>
  <mergeCells count="2">
    <mergeCell ref="A1:O1"/>
    <mergeCell ref="A2:O2"/>
  </mergeCells>
  <conditionalFormatting sqref="N5:N2000">
    <cfRule type="expression" dxfId="8" priority="2">
      <formula>N5="Open"</formula>
    </cfRule>
    <cfRule type="expression" dxfId="7" priority="3">
      <formula>N5="Finished"</formula>
    </cfRule>
    <cfRule type="expression" dxfId="6" priority="4">
      <formula>N5="Upcoming"</formula>
    </cfRule>
  </conditionalFormatting>
  <dataValidations count="1">
    <dataValidation type="list" allowBlank="1" sqref="N5:N1014" xr:uid="{00000000-0002-0000-0200-000000000000}">
      <formula1>"Upcoming,Open,Closed,Finished"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59E0B"/>
  </sheetPr>
  <dimension ref="A1:L1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L1"/>
    </sheetView>
  </sheetViews>
  <sheetFormatPr defaultColWidth="8.6328125" defaultRowHeight="14.5" x14ac:dyDescent="0.35"/>
  <cols>
    <col min="1" max="1" width="14" style="12" customWidth="1"/>
    <col min="2" max="2" width="36" style="12" customWidth="1"/>
    <col min="3" max="3" width="22" style="12" customWidth="1"/>
    <col min="4" max="4" width="24" style="12" customWidth="1"/>
    <col min="5" max="5" width="16" style="12" customWidth="1"/>
    <col min="6" max="6" width="10" style="12" customWidth="1"/>
    <col min="7" max="8" width="16" style="12" customWidth="1"/>
    <col min="9" max="11" width="28" style="12" customWidth="1"/>
    <col min="12" max="12" width="10" style="12" customWidth="1"/>
  </cols>
  <sheetData>
    <row r="1" spans="1:12" ht="36" customHeight="1" x14ac:dyDescent="0.35">
      <c r="A1" s="27" t="s">
        <v>140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18" customHeight="1" x14ac:dyDescent="0.35">
      <c r="A2" s="24" t="s">
        <v>141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 ht="25.5" customHeight="1" x14ac:dyDescent="0.35">
      <c r="A4" s="9" t="s">
        <v>142</v>
      </c>
      <c r="B4" s="9" t="s">
        <v>22</v>
      </c>
      <c r="C4" s="9" t="s">
        <v>37</v>
      </c>
      <c r="D4" s="9" t="s">
        <v>143</v>
      </c>
      <c r="E4" s="9" t="s">
        <v>44</v>
      </c>
      <c r="F4" s="9" t="s">
        <v>45</v>
      </c>
      <c r="G4" s="9" t="s">
        <v>129</v>
      </c>
      <c r="H4" s="9" t="s">
        <v>144</v>
      </c>
      <c r="I4" s="9" t="s">
        <v>47</v>
      </c>
      <c r="J4" s="9" t="s">
        <v>145</v>
      </c>
      <c r="K4" s="9" t="s">
        <v>146</v>
      </c>
      <c r="L4" s="9" t="s">
        <v>147</v>
      </c>
    </row>
    <row r="5" spans="1:12" ht="18" customHeight="1" x14ac:dyDescent="0.35">
      <c r="A5" s="2" t="str">
        <f>IF(B5&lt;&gt;"","ACH-"&amp;TEXT(ROW()+6,"0000"),"")</f>
        <v>ACH-0011</v>
      </c>
      <c r="B5" s="2" t="s">
        <v>65</v>
      </c>
      <c r="C5" s="2" t="s">
        <v>77</v>
      </c>
      <c r="D5" s="2" t="s">
        <v>59</v>
      </c>
      <c r="E5" s="2" t="s">
        <v>80</v>
      </c>
      <c r="F5" s="2" t="s">
        <v>81</v>
      </c>
      <c r="G5" s="2" t="s">
        <v>71</v>
      </c>
      <c r="H5" s="3" t="s">
        <v>148</v>
      </c>
      <c r="I5" s="2"/>
      <c r="J5" s="2"/>
      <c r="K5" s="2"/>
      <c r="L5" s="2" t="s">
        <v>78</v>
      </c>
    </row>
    <row r="6" spans="1:12" ht="18" customHeight="1" x14ac:dyDescent="0.35">
      <c r="A6" s="2" t="str">
        <f>IF(B6&lt;&gt;"","ACH-"&amp;TEXT(ROW()+6,"0000"),"")</f>
        <v>ACH-0012</v>
      </c>
      <c r="B6" s="2" t="s">
        <v>85</v>
      </c>
      <c r="C6" s="2" t="s">
        <v>77</v>
      </c>
      <c r="D6" s="2" t="s">
        <v>59</v>
      </c>
      <c r="E6" s="2" t="s">
        <v>80</v>
      </c>
      <c r="F6" s="2" t="s">
        <v>81</v>
      </c>
      <c r="G6" s="2" t="s">
        <v>71</v>
      </c>
      <c r="H6" s="3" t="s">
        <v>148</v>
      </c>
      <c r="I6" s="2"/>
      <c r="J6" s="2"/>
      <c r="K6" s="2"/>
      <c r="L6" s="2" t="s">
        <v>78</v>
      </c>
    </row>
    <row r="7" spans="1:12" ht="18" customHeight="1" x14ac:dyDescent="0.35"/>
    <row r="8" spans="1:12" ht="18" customHeight="1" x14ac:dyDescent="0.35"/>
    <row r="9" spans="1:12" ht="18" customHeight="1" x14ac:dyDescent="0.35"/>
    <row r="10" spans="1:12" ht="18" customHeight="1" x14ac:dyDescent="0.35"/>
    <row r="11" spans="1:12" ht="18" customHeight="1" x14ac:dyDescent="0.35"/>
    <row r="12" spans="1:12" ht="18" customHeight="1" x14ac:dyDescent="0.35"/>
    <row r="13" spans="1:12" ht="18" customHeight="1" x14ac:dyDescent="0.35"/>
  </sheetData>
  <autoFilter ref="A4:L4" xr:uid="{00000000-0009-0000-0000-000003000000}"/>
  <mergeCells count="2">
    <mergeCell ref="A2:L2"/>
    <mergeCell ref="A1:L1"/>
  </mergeCells>
  <conditionalFormatting sqref="L5:L2000">
    <cfRule type="expression" dxfId="5" priority="2">
      <formula>L5="Yes"</formula>
    </cfRule>
    <cfRule type="expression" dxfId="4" priority="3">
      <formula>L5="No"</formula>
    </cfRule>
  </conditionalFormatting>
  <dataValidations count="1">
    <dataValidation type="list" allowBlank="1" sqref="L5:L1011" xr:uid="{00000000-0002-0000-03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D28D9"/>
  </sheetPr>
  <dimension ref="A1:P1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P1"/>
    </sheetView>
  </sheetViews>
  <sheetFormatPr defaultColWidth="8.6328125" defaultRowHeight="14.5" x14ac:dyDescent="0.35"/>
  <cols>
    <col min="1" max="1" width="12" style="12" customWidth="1"/>
    <col min="2" max="2" width="24" style="12" customWidth="1"/>
    <col min="3" max="3" width="30" style="12" customWidth="1"/>
    <col min="4" max="4" width="16" style="12" customWidth="1"/>
    <col min="5" max="5" width="24" style="12" customWidth="1"/>
    <col min="6" max="6" width="12" style="12" customWidth="1"/>
    <col min="7" max="7" width="26" style="12" customWidth="1"/>
    <col min="8" max="8" width="22" style="12" customWidth="1"/>
    <col min="9" max="10" width="30" style="12" customWidth="1"/>
    <col min="11" max="11" width="28" style="12" customWidth="1"/>
    <col min="12" max="12" width="16" style="12" customWidth="1"/>
    <col min="13" max="13" width="12" style="12" customWidth="1"/>
    <col min="14" max="15" width="14" style="12" customWidth="1"/>
  </cols>
  <sheetData>
    <row r="1" spans="1:16" ht="36" customHeight="1" x14ac:dyDescent="0.35">
      <c r="A1" s="27" t="s">
        <v>149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18" customHeight="1" x14ac:dyDescent="0.35">
      <c r="A2" s="24" t="s">
        <v>150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4" spans="1:16" ht="27.75" customHeight="1" x14ac:dyDescent="0.35">
      <c r="A4" s="10" t="s">
        <v>151</v>
      </c>
      <c r="B4" s="10" t="s">
        <v>152</v>
      </c>
      <c r="C4" s="10" t="s">
        <v>91</v>
      </c>
      <c r="D4" s="10" t="s">
        <v>92</v>
      </c>
      <c r="E4" s="10" t="s">
        <v>153</v>
      </c>
      <c r="F4" s="10" t="s">
        <v>15</v>
      </c>
      <c r="G4" s="10" t="s">
        <v>20</v>
      </c>
      <c r="H4" s="10" t="s">
        <v>21</v>
      </c>
      <c r="I4" s="10" t="s">
        <v>94</v>
      </c>
      <c r="J4" s="10" t="s">
        <v>95</v>
      </c>
      <c r="K4" s="10" t="s">
        <v>96</v>
      </c>
      <c r="L4" s="10" t="s">
        <v>154</v>
      </c>
      <c r="M4" s="10" t="s">
        <v>155</v>
      </c>
      <c r="N4" s="10" t="s">
        <v>156</v>
      </c>
      <c r="O4" s="10" t="s">
        <v>43</v>
      </c>
    </row>
    <row r="5" spans="1:16" ht="18" customHeight="1" x14ac:dyDescent="0.35">
      <c r="A5" s="2" t="str">
        <f>IF(B5&lt;&gt;"","STD-"&amp;TEXT(ROW()+6,"0000"),"")</f>
        <v>STD-0011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58</v>
      </c>
      <c r="G5" s="2" t="s">
        <v>63</v>
      </c>
      <c r="H5" s="2" t="s">
        <v>64</v>
      </c>
      <c r="I5" s="2" t="s">
        <v>99</v>
      </c>
      <c r="J5" s="2" t="s">
        <v>157</v>
      </c>
      <c r="K5" s="2"/>
      <c r="L5" s="2">
        <v>2</v>
      </c>
      <c r="M5" s="2">
        <v>0</v>
      </c>
      <c r="N5" s="2">
        <v>0</v>
      </c>
      <c r="O5" s="2" t="s">
        <v>158</v>
      </c>
      <c r="P5" s="2"/>
    </row>
    <row r="6" spans="1:16" ht="18" customHeight="1" x14ac:dyDescent="0.35">
      <c r="A6" s="2" t="str">
        <f>IF(B6&lt;&gt;"","STD-"&amp;TEXT(ROW()+6,"0000"),"")</f>
        <v>STD-0012</v>
      </c>
      <c r="B6" s="2" t="s">
        <v>100</v>
      </c>
      <c r="C6" s="2" t="s">
        <v>101</v>
      </c>
      <c r="D6" s="2" t="s">
        <v>102</v>
      </c>
      <c r="E6" s="2" t="s">
        <v>62</v>
      </c>
      <c r="F6" s="2" t="s">
        <v>58</v>
      </c>
      <c r="G6" s="2" t="s">
        <v>63</v>
      </c>
      <c r="H6" s="2" t="s">
        <v>64</v>
      </c>
      <c r="I6" s="2" t="s">
        <v>104</v>
      </c>
      <c r="J6" s="2"/>
      <c r="K6" s="2"/>
      <c r="L6" s="2">
        <v>2</v>
      </c>
      <c r="M6" s="2">
        <v>0</v>
      </c>
      <c r="N6" s="2">
        <v>0</v>
      </c>
      <c r="O6" s="2" t="s">
        <v>158</v>
      </c>
      <c r="P6" s="2"/>
    </row>
    <row r="7" spans="1:16" ht="18" customHeight="1" x14ac:dyDescent="0.35">
      <c r="A7" s="2" t="str">
        <f>IF(B7&lt;&gt;"","STD-"&amp;TEXT(ROW()+6,"0000"),"")</f>
        <v>STD-0013</v>
      </c>
      <c r="B7" s="2" t="s">
        <v>105</v>
      </c>
      <c r="C7" s="2" t="s">
        <v>106</v>
      </c>
      <c r="D7" s="2" t="s">
        <v>107</v>
      </c>
      <c r="E7" s="2" t="s">
        <v>62</v>
      </c>
      <c r="F7" s="2" t="s">
        <v>58</v>
      </c>
      <c r="G7" s="2" t="s">
        <v>63</v>
      </c>
      <c r="H7" s="2" t="s">
        <v>64</v>
      </c>
      <c r="I7" s="2" t="s">
        <v>108</v>
      </c>
      <c r="J7" s="2"/>
      <c r="K7" s="2"/>
      <c r="L7" s="2">
        <v>2</v>
      </c>
      <c r="M7" s="2">
        <v>0</v>
      </c>
      <c r="N7" s="2">
        <v>0</v>
      </c>
      <c r="O7" s="2" t="s">
        <v>158</v>
      </c>
      <c r="P7" s="2"/>
    </row>
    <row r="8" spans="1:16" ht="18" customHeight="1" x14ac:dyDescent="0.35">
      <c r="A8" s="2" t="str">
        <f>IF(B8&lt;&gt;"","STD-"&amp;TEXT(ROW()+6,"0000"),"")</f>
        <v>STD-0014</v>
      </c>
      <c r="B8" s="2" t="s">
        <v>109</v>
      </c>
      <c r="C8" s="2" t="s">
        <v>110</v>
      </c>
      <c r="D8" s="2" t="s">
        <v>111</v>
      </c>
      <c r="E8" s="2" t="s">
        <v>62</v>
      </c>
      <c r="F8" s="2" t="s">
        <v>58</v>
      </c>
      <c r="G8" s="2" t="s">
        <v>63</v>
      </c>
      <c r="H8" s="2" t="s">
        <v>64</v>
      </c>
      <c r="I8" s="2" t="s">
        <v>113</v>
      </c>
      <c r="J8" s="2"/>
      <c r="K8" s="2"/>
      <c r="L8" s="2">
        <v>2</v>
      </c>
      <c r="M8" s="2">
        <v>0</v>
      </c>
      <c r="N8" s="2">
        <v>0</v>
      </c>
      <c r="O8" s="2" t="s">
        <v>158</v>
      </c>
      <c r="P8" s="2"/>
    </row>
    <row r="9" spans="1:16" ht="18" customHeight="1" x14ac:dyDescent="0.35">
      <c r="A9" s="2" t="str">
        <f>IF(B9&lt;&gt;"","STD-"&amp;TEXT(ROW()+6,"0000"),"")</f>
        <v>STD-0015</v>
      </c>
      <c r="B9" s="2" t="s">
        <v>114</v>
      </c>
      <c r="C9" s="2" t="s">
        <v>115</v>
      </c>
      <c r="D9" s="2" t="s">
        <v>116</v>
      </c>
      <c r="E9" s="2" t="s">
        <v>62</v>
      </c>
      <c r="F9" s="2" t="s">
        <v>58</v>
      </c>
      <c r="G9" s="2" t="s">
        <v>63</v>
      </c>
      <c r="H9" s="2" t="s">
        <v>64</v>
      </c>
      <c r="I9" s="2" t="s">
        <v>118</v>
      </c>
      <c r="J9" s="2"/>
      <c r="K9" s="2"/>
      <c r="L9" s="2">
        <v>2</v>
      </c>
      <c r="M9" s="2">
        <v>0</v>
      </c>
      <c r="N9" s="2">
        <v>0</v>
      </c>
      <c r="O9" s="2" t="s">
        <v>158</v>
      </c>
      <c r="P9" s="2"/>
    </row>
    <row r="10" spans="1:16" ht="18" customHeight="1" x14ac:dyDescent="0.35"/>
    <row r="11" spans="1:16" ht="18" customHeight="1" x14ac:dyDescent="0.35"/>
    <row r="12" spans="1:16" ht="18" customHeight="1" x14ac:dyDescent="0.35"/>
    <row r="13" spans="1:16" ht="18" customHeight="1" x14ac:dyDescent="0.35"/>
    <row r="14" spans="1:16" ht="18" customHeight="1" x14ac:dyDescent="0.35"/>
    <row r="15" spans="1:16" ht="18" customHeight="1" x14ac:dyDescent="0.35"/>
    <row r="16" spans="1:16" ht="18" customHeight="1" x14ac:dyDescent="0.35"/>
    <row r="17" ht="18" customHeight="1" x14ac:dyDescent="0.35"/>
    <row r="18" ht="18" customHeight="1" x14ac:dyDescent="0.35"/>
    <row r="19" ht="18" customHeight="1" x14ac:dyDescent="0.35"/>
  </sheetData>
  <autoFilter ref="A4:O4" xr:uid="{00000000-0009-0000-0000-000004000000}"/>
  <mergeCells count="2">
    <mergeCell ref="A1:P1"/>
    <mergeCell ref="A2:P2"/>
  </mergeCells>
  <conditionalFormatting sqref="M5:M2000">
    <cfRule type="cellIs" dxfId="3" priority="5" operator="greaterThan">
      <formula>0</formula>
    </cfRule>
  </conditionalFormatting>
  <conditionalFormatting sqref="O5:O2000">
    <cfRule type="expression" dxfId="2" priority="2">
      <formula>O5="Active"</formula>
    </cfRule>
    <cfRule type="expression" dxfId="1" priority="3">
      <formula>O5="Graduated"</formula>
    </cfRule>
    <cfRule type="expression" dxfId="0" priority="4">
      <formula>O5="Inactive"</formula>
    </cfRule>
  </conditionalFormatting>
  <dataValidations count="1">
    <dataValidation type="list" allowBlank="1" sqref="O5:O1014" xr:uid="{00000000-0002-0000-0400-000000000000}">
      <formula1>"Active,Inactive,Graduated"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59E0B"/>
  </sheetPr>
  <dimension ref="A1:V22"/>
  <sheetViews>
    <sheetView showGridLines="0" zoomScaleNormal="100" workbookViewId="0">
      <selection sqref="A1:R1"/>
    </sheetView>
  </sheetViews>
  <sheetFormatPr defaultColWidth="8.6328125" defaultRowHeight="14.5" x14ac:dyDescent="0.35"/>
  <cols>
    <col min="1" max="16" width="14" style="12" customWidth="1"/>
  </cols>
  <sheetData>
    <row r="1" spans="1:22" ht="43.5" customHeight="1" x14ac:dyDescent="0.35">
      <c r="A1" s="57" t="s">
        <v>159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22" ht="18" customHeight="1" x14ac:dyDescent="0.35">
      <c r="A2" s="24" t="s">
        <v>160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22" x14ac:dyDescent="0.35">
      <c r="R3" s="11" t="s">
        <v>153</v>
      </c>
      <c r="S3" s="11" t="s">
        <v>161</v>
      </c>
      <c r="U3" s="11" t="s">
        <v>131</v>
      </c>
      <c r="V3" s="11" t="s">
        <v>161</v>
      </c>
    </row>
    <row r="4" spans="1:22" ht="19.5" customHeight="1" x14ac:dyDescent="0.35">
      <c r="A4" s="32" t="s">
        <v>162</v>
      </c>
      <c r="B4" s="22"/>
      <c r="C4" s="28" t="s">
        <v>163</v>
      </c>
      <c r="D4" s="22"/>
      <c r="E4" s="33" t="s">
        <v>164</v>
      </c>
      <c r="F4" s="22"/>
      <c r="G4" s="23" t="s">
        <v>165</v>
      </c>
      <c r="H4" s="22"/>
      <c r="I4" s="29" t="s">
        <v>166</v>
      </c>
      <c r="J4" s="22"/>
      <c r="K4" s="30" t="s">
        <v>167</v>
      </c>
      <c r="L4" s="22"/>
      <c r="M4" s="25" t="s">
        <v>168</v>
      </c>
      <c r="N4" s="22"/>
      <c r="O4" s="50" t="s">
        <v>169</v>
      </c>
      <c r="P4" s="22"/>
      <c r="R4" t="s">
        <v>62</v>
      </c>
      <c r="S4">
        <f>COUNTIF('Competition Submissions'!G5:G2000,"AI &amp; Machine Learning")</f>
        <v>2</v>
      </c>
      <c r="U4" t="s">
        <v>170</v>
      </c>
      <c r="V4">
        <f>COUNTIF('Competition Submissions'!AE5:AE2000,"Winner")</f>
        <v>0</v>
      </c>
    </row>
    <row r="5" spans="1:22" ht="36" customHeight="1" x14ac:dyDescent="0.35">
      <c r="A5" s="51">
        <f>COUNTA('Student Directory'!B5:B2000)</f>
        <v>5</v>
      </c>
      <c r="B5" s="22"/>
      <c r="C5" s="37">
        <f>COUNTA('Competitions Database'!B5:B2000)</f>
        <v>2</v>
      </c>
      <c r="D5" s="22"/>
      <c r="E5" s="38">
        <f>COUNTA('Competition Submissions'!B5:B2000)</f>
        <v>2</v>
      </c>
      <c r="F5" s="22"/>
      <c r="G5" s="52">
        <f>COUNTA('Team Members'!D5:D2000)</f>
        <v>10</v>
      </c>
      <c r="H5" s="22"/>
      <c r="I5" s="53">
        <f>COUNTIF('Competition Submissions'!AE5:AE2000,"Winner")</f>
        <v>0</v>
      </c>
      <c r="J5" s="22"/>
      <c r="K5" s="39">
        <f>COUNTIF('Competition Submissions'!AE5:AE2000,"Finalist")</f>
        <v>0</v>
      </c>
      <c r="L5" s="22"/>
      <c r="M5" s="40">
        <f>COUNTIF(Achievements!L5:L2000,"Yes")</f>
        <v>2</v>
      </c>
      <c r="N5" s="22"/>
      <c r="O5" s="45">
        <f>COUNTIF('Competitions Database'!N5:N2000,"Open")</f>
        <v>2</v>
      </c>
      <c r="P5" s="22"/>
      <c r="R5" t="s">
        <v>171</v>
      </c>
      <c r="S5">
        <f>COUNTIF('Competition Submissions'!G5:G2000,"Data Science")</f>
        <v>0</v>
      </c>
      <c r="U5" t="s">
        <v>172</v>
      </c>
      <c r="V5">
        <f>COUNTIF('Competition Submissions'!AE5:AE2000,"Finalist")</f>
        <v>0</v>
      </c>
    </row>
    <row r="6" spans="1:22" x14ac:dyDescent="0.35">
      <c r="R6" t="s">
        <v>173</v>
      </c>
      <c r="S6">
        <f>COUNTIF('Competition Submissions'!G5:G2000,"Web Development")</f>
        <v>0</v>
      </c>
      <c r="U6" t="s">
        <v>79</v>
      </c>
      <c r="V6">
        <f>COUNTIF('Competition Submissions'!AE5:AE2000,"Shortlisted")</f>
        <v>2</v>
      </c>
    </row>
    <row r="7" spans="1:22" ht="12" customHeight="1" x14ac:dyDescent="0.35">
      <c r="R7" t="s">
        <v>174</v>
      </c>
      <c r="S7">
        <f>COUNTIF('Competition Submissions'!G5:G2000,"Mobile Development")</f>
        <v>0</v>
      </c>
      <c r="U7" t="s">
        <v>175</v>
      </c>
      <c r="V7">
        <f>COUNTIF('Competition Submissions'!AE5:AE2000,"Under Review")</f>
        <v>0</v>
      </c>
    </row>
    <row r="8" spans="1:22" ht="24" customHeight="1" x14ac:dyDescent="0.35">
      <c r="A8" s="54" t="s">
        <v>176</v>
      </c>
      <c r="B8" s="35"/>
      <c r="C8" s="35"/>
      <c r="D8" s="35"/>
      <c r="E8" s="35"/>
      <c r="F8" s="35"/>
      <c r="G8" s="35"/>
      <c r="H8" s="35"/>
      <c r="J8" s="46" t="s">
        <v>177</v>
      </c>
      <c r="K8" s="35"/>
      <c r="L8" s="35"/>
      <c r="M8" s="35"/>
      <c r="N8" s="35"/>
      <c r="O8" s="35"/>
      <c r="P8" s="35"/>
      <c r="R8" t="s">
        <v>178</v>
      </c>
      <c r="S8">
        <f>COUNTIF('Competition Submissions'!G5:G2000,"Cybersecurity")</f>
        <v>0</v>
      </c>
      <c r="U8" t="s">
        <v>179</v>
      </c>
      <c r="V8">
        <f>COUNTIF('Competition Submissions'!AE5:AE2000,"Registered")</f>
        <v>0</v>
      </c>
    </row>
    <row r="9" spans="1:22" x14ac:dyDescent="0.35">
      <c r="A9" s="42" t="s">
        <v>153</v>
      </c>
      <c r="B9" s="35"/>
      <c r="C9" s="35"/>
      <c r="D9" s="43"/>
      <c r="E9" s="56" t="s">
        <v>153</v>
      </c>
      <c r="F9" s="35"/>
      <c r="G9" s="35"/>
      <c r="H9" s="35"/>
      <c r="I9" s="20" t="s">
        <v>161</v>
      </c>
      <c r="J9" s="20" t="s">
        <v>180</v>
      </c>
      <c r="K9" s="20" t="s">
        <v>143</v>
      </c>
      <c r="L9" s="20" t="s">
        <v>181</v>
      </c>
      <c r="M9" s="20" t="s">
        <v>182</v>
      </c>
      <c r="N9" s="20" t="s">
        <v>183</v>
      </c>
      <c r="R9" t="s">
        <v>184</v>
      </c>
      <c r="S9">
        <f>COUNTIF('Competition Submissions'!G5:G2000,"Cloud Computing")</f>
        <v>0</v>
      </c>
      <c r="U9" t="s">
        <v>185</v>
      </c>
      <c r="V9">
        <f>COUNTIF('Competition Submissions'!AE5:AE2000,"Rejected")</f>
        <v>0</v>
      </c>
    </row>
    <row r="10" spans="1:22" ht="18" customHeight="1" x14ac:dyDescent="0.35">
      <c r="A10" s="34" t="s">
        <v>62</v>
      </c>
      <c r="B10" s="35"/>
      <c r="C10" s="35"/>
      <c r="D10" s="35"/>
      <c r="E10" s="48">
        <f>COUNTIF('Competition Submissions'!G5:G2000,"AI &amp; Machine Learning")</f>
        <v>2</v>
      </c>
      <c r="F10" s="35"/>
      <c r="G10" s="35"/>
      <c r="H10" s="35"/>
      <c r="J10" s="13">
        <v>1</v>
      </c>
      <c r="K10" s="14" t="s">
        <v>59</v>
      </c>
      <c r="L10" s="15">
        <v>2</v>
      </c>
      <c r="M10" s="15">
        <v>0</v>
      </c>
      <c r="N10" s="15">
        <v>0</v>
      </c>
      <c r="R10" t="s">
        <v>186</v>
      </c>
      <c r="S10">
        <f>COUNTIF('Competition Submissions'!G5:G2000,"UI/UX Design")</f>
        <v>0</v>
      </c>
    </row>
    <row r="11" spans="1:22" ht="18" customHeight="1" x14ac:dyDescent="0.35">
      <c r="A11" s="36" t="s">
        <v>171</v>
      </c>
      <c r="B11" s="35"/>
      <c r="C11" s="35"/>
      <c r="D11" s="35"/>
      <c r="E11" s="55">
        <f>COUNTIF('Competition Submissions'!G5:G2000,"Data Science")</f>
        <v>0</v>
      </c>
      <c r="F11" s="35"/>
      <c r="G11" s="35"/>
      <c r="H11" s="35"/>
      <c r="J11" s="16">
        <v>2</v>
      </c>
      <c r="K11" s="17" t="s">
        <v>100</v>
      </c>
      <c r="L11" s="18">
        <v>2</v>
      </c>
      <c r="M11" s="18">
        <v>0</v>
      </c>
      <c r="N11" s="18">
        <v>0</v>
      </c>
      <c r="R11" t="s">
        <v>187</v>
      </c>
      <c r="S11">
        <f>COUNTIF('Competition Submissions'!G5:G2000,"Business Technology")</f>
        <v>0</v>
      </c>
    </row>
    <row r="12" spans="1:22" ht="18" customHeight="1" x14ac:dyDescent="0.35">
      <c r="A12" s="34" t="s">
        <v>173</v>
      </c>
      <c r="B12" s="35"/>
      <c r="C12" s="35"/>
      <c r="D12" s="35"/>
      <c r="E12" s="48">
        <f>COUNTIF('Competition Submissions'!G5:G2000,"Web Development")</f>
        <v>0</v>
      </c>
      <c r="F12" s="35"/>
      <c r="G12" s="35"/>
      <c r="H12" s="35"/>
      <c r="J12" s="13">
        <v>3</v>
      </c>
      <c r="K12" s="14" t="s">
        <v>105</v>
      </c>
      <c r="L12" s="15">
        <v>2</v>
      </c>
      <c r="M12" s="15">
        <v>0</v>
      </c>
      <c r="N12" s="15">
        <v>0</v>
      </c>
      <c r="R12" t="s">
        <v>188</v>
      </c>
      <c r="S12">
        <f>COUNTIF('Competition Submissions'!G5:G2000,"Embedded Systems")</f>
        <v>0</v>
      </c>
    </row>
    <row r="13" spans="1:22" ht="18" customHeight="1" x14ac:dyDescent="0.35">
      <c r="A13" s="36" t="s">
        <v>174</v>
      </c>
      <c r="B13" s="35"/>
      <c r="C13" s="35"/>
      <c r="D13" s="35"/>
      <c r="E13" s="55">
        <f>COUNTIF('Competition Submissions'!G5:G2000,"Mobile Development")</f>
        <v>0</v>
      </c>
      <c r="F13" s="35"/>
      <c r="G13" s="35"/>
      <c r="H13" s="35"/>
      <c r="J13" s="16">
        <v>4</v>
      </c>
      <c r="K13" s="17" t="s">
        <v>109</v>
      </c>
      <c r="L13" s="18">
        <v>2</v>
      </c>
      <c r="M13" s="18">
        <v>0</v>
      </c>
      <c r="N13" s="18">
        <v>0</v>
      </c>
      <c r="R13" t="s">
        <v>189</v>
      </c>
      <c r="S13">
        <f>COUNTIF('Competition Submissions'!G5:G2000,"Other")</f>
        <v>0</v>
      </c>
    </row>
    <row r="14" spans="1:22" ht="18" customHeight="1" x14ac:dyDescent="0.35">
      <c r="A14" s="34" t="s">
        <v>178</v>
      </c>
      <c r="B14" s="35"/>
      <c r="C14" s="35"/>
      <c r="D14" s="35"/>
      <c r="E14" s="48">
        <f>COUNTIF('Competition Submissions'!G5:G2000,"Cybersecurity")</f>
        <v>0</v>
      </c>
      <c r="F14" s="35"/>
      <c r="G14" s="35"/>
      <c r="H14" s="35"/>
      <c r="J14" s="13">
        <v>5</v>
      </c>
      <c r="K14" s="14" t="s">
        <v>114</v>
      </c>
      <c r="L14" s="15">
        <v>2</v>
      </c>
      <c r="M14" s="15">
        <v>0</v>
      </c>
      <c r="N14" s="15">
        <v>0</v>
      </c>
    </row>
    <row r="16" spans="1:22" ht="24" customHeight="1" x14ac:dyDescent="0.35">
      <c r="A16" s="47" t="s">
        <v>190</v>
      </c>
      <c r="B16" s="35"/>
      <c r="C16" s="35"/>
      <c r="D16" s="35"/>
      <c r="E16" s="35"/>
      <c r="F16" s="35"/>
      <c r="G16" s="35"/>
      <c r="H16" s="35"/>
      <c r="J16" s="58" t="s">
        <v>191</v>
      </c>
      <c r="K16" s="35"/>
      <c r="L16" s="35"/>
      <c r="M16" s="35"/>
      <c r="N16" s="35"/>
      <c r="O16" s="35"/>
      <c r="P16" s="35"/>
    </row>
    <row r="17" spans="1:16" ht="18" customHeight="1" x14ac:dyDescent="0.35">
      <c r="A17" s="34" t="s">
        <v>192</v>
      </c>
      <c r="B17" s="35"/>
      <c r="C17" s="35"/>
      <c r="D17" s="35"/>
      <c r="E17" s="49">
        <f>COUNTA('Competition Submissions'!B5:B2000)</f>
        <v>2</v>
      </c>
      <c r="F17" s="35"/>
      <c r="G17" s="35"/>
      <c r="H17" s="35"/>
      <c r="J17" s="20" t="s">
        <v>193</v>
      </c>
      <c r="K17" s="20" t="s">
        <v>194</v>
      </c>
      <c r="L17" s="20" t="s">
        <v>195</v>
      </c>
      <c r="M17" s="20" t="s">
        <v>196</v>
      </c>
      <c r="N17" s="20" t="s">
        <v>197</v>
      </c>
      <c r="O17" s="20" t="s">
        <v>198</v>
      </c>
      <c r="P17" s="20" t="s">
        <v>199</v>
      </c>
    </row>
    <row r="18" spans="1:16" ht="24" customHeight="1" x14ac:dyDescent="0.35">
      <c r="A18" s="36" t="s">
        <v>200</v>
      </c>
      <c r="B18" s="35"/>
      <c r="C18" s="35"/>
      <c r="D18" s="35"/>
      <c r="E18" s="44">
        <f>COUNTIF('Competition Submissions'!AE5:AE2000,"Winner")</f>
        <v>0</v>
      </c>
      <c r="F18" s="35"/>
      <c r="G18" s="35"/>
      <c r="H18" s="35"/>
      <c r="J18" s="19">
        <f>SUMPRODUCT((MONTH('Competition Submissions'!B5:B2000)=1)*(YEAR('Competition Submissions'!B5:B2000)=2026))</f>
        <v>0</v>
      </c>
      <c r="K18" s="19">
        <f>SUMPRODUCT((MONTH('Competition Submissions'!B5:B2000)=2)*(YEAR('Competition Submissions'!B5:B2000)=2026))</f>
        <v>0</v>
      </c>
      <c r="L18" s="19">
        <f>SUMPRODUCT((MONTH('Competition Submissions'!B5:B2000)=3)*(YEAR('Competition Submissions'!B5:B2000)=2026))</f>
        <v>0</v>
      </c>
      <c r="M18" s="19">
        <f>SUMPRODUCT((MONTH('Competition Submissions'!B5:B2000)=4)*(YEAR('Competition Submissions'!B5:B2000)=2026))</f>
        <v>0</v>
      </c>
      <c r="N18" s="19">
        <f>SUMPRODUCT((MONTH('Competition Submissions'!B5:B2000)=5)*(YEAR('Competition Submissions'!B5:B2000)=2026))</f>
        <v>0</v>
      </c>
      <c r="O18" s="19">
        <f>SUMPRODUCT((MONTH('Competition Submissions'!B5:B2000)=6)*(YEAR('Competition Submissions'!B5:B2000)=2026))</f>
        <v>2</v>
      </c>
      <c r="P18" s="19">
        <f>SUMPRODUCT((MONTH('Competition Submissions'!B5:B2000)=7)*(YEAR('Competition Submissions'!B5:B2000)=2026))</f>
        <v>0</v>
      </c>
    </row>
    <row r="19" spans="1:16" ht="18" customHeight="1" x14ac:dyDescent="0.35">
      <c r="A19" s="34" t="s">
        <v>201</v>
      </c>
      <c r="B19" s="35"/>
      <c r="C19" s="35"/>
      <c r="D19" s="35"/>
      <c r="E19" s="49">
        <f>COUNTIF('Competition Submissions'!AE5:AE2000,"Finalist")</f>
        <v>0</v>
      </c>
      <c r="F19" s="35"/>
      <c r="G19" s="35"/>
      <c r="H19" s="35"/>
    </row>
    <row r="20" spans="1:16" ht="18" customHeight="1" x14ac:dyDescent="0.35">
      <c r="A20" s="36" t="s">
        <v>79</v>
      </c>
      <c r="B20" s="35"/>
      <c r="C20" s="35"/>
      <c r="D20" s="35"/>
      <c r="E20" s="44">
        <f>COUNTIF('Competition Submissions'!AE5:AE2000,"Shortlisted")</f>
        <v>2</v>
      </c>
      <c r="F20" s="35"/>
      <c r="G20" s="35"/>
      <c r="H20" s="35"/>
    </row>
    <row r="21" spans="1:16" ht="18" customHeight="1" x14ac:dyDescent="0.35">
      <c r="A21" s="34" t="s">
        <v>185</v>
      </c>
      <c r="B21" s="35"/>
      <c r="C21" s="35"/>
      <c r="D21" s="35"/>
      <c r="E21" s="49">
        <f>COUNTIF('Competition Submissions'!AE5:AE2000,"Rejected")</f>
        <v>0</v>
      </c>
      <c r="F21" s="35"/>
      <c r="G21" s="35"/>
      <c r="H21" s="35"/>
    </row>
    <row r="22" spans="1:16" ht="18" customHeight="1" x14ac:dyDescent="0.35">
      <c r="A22" s="36" t="s">
        <v>202</v>
      </c>
      <c r="B22" s="35"/>
      <c r="C22" s="35"/>
      <c r="D22" s="35"/>
      <c r="E22" s="41">
        <f>IF(COUNTA('Competition Submissions'!B5:B2000)=0,0,COUNTIF('Competition Submissions'!AE5:AE2000,"Winner")/COUNTA('Competition Submissions'!B5:B2000))</f>
        <v>0</v>
      </c>
      <c r="F22" s="35"/>
      <c r="G22" s="35"/>
      <c r="H22" s="35"/>
    </row>
  </sheetData>
  <mergeCells count="46">
    <mergeCell ref="I4:J4"/>
    <mergeCell ref="E9:H9"/>
    <mergeCell ref="A12:D12"/>
    <mergeCell ref="A21:D21"/>
    <mergeCell ref="A1:R1"/>
    <mergeCell ref="K4:L4"/>
    <mergeCell ref="E11:H11"/>
    <mergeCell ref="J16:P16"/>
    <mergeCell ref="M4:N4"/>
    <mergeCell ref="A14:D14"/>
    <mergeCell ref="O5:P5"/>
    <mergeCell ref="J8:P8"/>
    <mergeCell ref="A2:R2"/>
    <mergeCell ref="A16:H16"/>
    <mergeCell ref="E12:H12"/>
    <mergeCell ref="A11:D11"/>
    <mergeCell ref="O4:P4"/>
    <mergeCell ref="E14:H14"/>
    <mergeCell ref="A5:B5"/>
    <mergeCell ref="G5:H5"/>
    <mergeCell ref="I5:J5"/>
    <mergeCell ref="E10:H10"/>
    <mergeCell ref="A8:H8"/>
    <mergeCell ref="E13:H13"/>
    <mergeCell ref="A4:B4"/>
    <mergeCell ref="G4:H4"/>
    <mergeCell ref="C4:D4"/>
    <mergeCell ref="E22:H22"/>
    <mergeCell ref="E4:F4"/>
    <mergeCell ref="A9:D9"/>
    <mergeCell ref="E18:H18"/>
    <mergeCell ref="E21:H21"/>
    <mergeCell ref="E17:H17"/>
    <mergeCell ref="E20:H20"/>
    <mergeCell ref="E19:H19"/>
    <mergeCell ref="A18:D18"/>
    <mergeCell ref="K5:L5"/>
    <mergeCell ref="M5:N5"/>
    <mergeCell ref="A19:D19"/>
    <mergeCell ref="A10:D10"/>
    <mergeCell ref="A13:D13"/>
    <mergeCell ref="A17:D17"/>
    <mergeCell ref="A22:D22"/>
    <mergeCell ref="A20:D20"/>
    <mergeCell ref="C5:D5"/>
    <mergeCell ref="E5:F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1D9E6"/>
  </sheetPr>
  <dimension ref="A1:T19"/>
  <sheetViews>
    <sheetView showGridLines="0" zoomScaleNormal="100" workbookViewId="0">
      <selection activeCell="H3" sqref="H3"/>
    </sheetView>
  </sheetViews>
  <sheetFormatPr defaultColWidth="8.6328125" defaultRowHeight="14.5" x14ac:dyDescent="0.35"/>
  <cols>
    <col min="1" max="14" width="22" style="12" customWidth="1"/>
  </cols>
  <sheetData>
    <row r="1" spans="1:20" ht="36" customHeight="1" x14ac:dyDescent="0.35">
      <c r="A1" s="27" t="s">
        <v>203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 ht="18" customHeight="1" x14ac:dyDescent="0.35">
      <c r="A2" s="24" t="s">
        <v>204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</row>
    <row r="3" spans="1:20" ht="21.75" customHeight="1" x14ac:dyDescent="0.35">
      <c r="A3" s="7" t="s">
        <v>205</v>
      </c>
      <c r="B3" s="7" t="s">
        <v>206</v>
      </c>
      <c r="C3" s="7" t="s">
        <v>207</v>
      </c>
      <c r="D3" s="7" t="s">
        <v>208</v>
      </c>
      <c r="E3" s="7" t="s">
        <v>209</v>
      </c>
      <c r="F3" s="7" t="s">
        <v>210</v>
      </c>
      <c r="G3" s="7" t="s">
        <v>211</v>
      </c>
      <c r="H3" s="7" t="s">
        <v>212</v>
      </c>
      <c r="I3" s="7" t="s">
        <v>213</v>
      </c>
      <c r="J3" s="7" t="s">
        <v>214</v>
      </c>
      <c r="K3" s="7" t="s">
        <v>215</v>
      </c>
      <c r="L3" s="7" t="s">
        <v>216</v>
      </c>
      <c r="M3" s="7" t="s">
        <v>217</v>
      </c>
      <c r="N3" s="7" t="s">
        <v>147</v>
      </c>
    </row>
    <row r="4" spans="1:20" ht="15.75" customHeight="1" x14ac:dyDescent="0.35">
      <c r="A4" s="17" t="s">
        <v>62</v>
      </c>
      <c r="B4" s="17" t="s">
        <v>62</v>
      </c>
      <c r="C4" s="17" t="s">
        <v>68</v>
      </c>
      <c r="D4" s="17" t="s">
        <v>98</v>
      </c>
      <c r="E4" s="17" t="s">
        <v>179</v>
      </c>
      <c r="F4" s="17" t="s">
        <v>218</v>
      </c>
      <c r="G4" s="17" t="s">
        <v>219</v>
      </c>
      <c r="H4" s="17" t="s">
        <v>220</v>
      </c>
      <c r="I4" s="17" t="s">
        <v>221</v>
      </c>
      <c r="J4" s="17" t="s">
        <v>78</v>
      </c>
      <c r="K4" s="17" t="s">
        <v>69</v>
      </c>
      <c r="L4" s="17" t="s">
        <v>222</v>
      </c>
      <c r="M4" s="17" t="s">
        <v>158</v>
      </c>
      <c r="N4" s="17" t="s">
        <v>78</v>
      </c>
    </row>
    <row r="5" spans="1:20" ht="15.75" customHeight="1" x14ac:dyDescent="0.35">
      <c r="A5" s="14" t="s">
        <v>171</v>
      </c>
      <c r="B5" s="14" t="s">
        <v>171</v>
      </c>
      <c r="C5" s="14" t="s">
        <v>223</v>
      </c>
      <c r="D5" s="14" t="s">
        <v>224</v>
      </c>
      <c r="E5" s="14" t="s">
        <v>225</v>
      </c>
      <c r="F5" s="14" t="s">
        <v>226</v>
      </c>
      <c r="G5" s="14" t="s">
        <v>227</v>
      </c>
      <c r="H5" s="14" t="s">
        <v>228</v>
      </c>
      <c r="I5" s="14" t="s">
        <v>229</v>
      </c>
      <c r="J5" s="14" t="s">
        <v>230</v>
      </c>
      <c r="K5" s="14" t="s">
        <v>231</v>
      </c>
      <c r="L5" s="14" t="s">
        <v>137</v>
      </c>
      <c r="M5" s="14" t="s">
        <v>232</v>
      </c>
      <c r="N5" s="14" t="s">
        <v>230</v>
      </c>
    </row>
    <row r="6" spans="1:20" ht="15.75" customHeight="1" x14ac:dyDescent="0.35">
      <c r="A6" s="17" t="s">
        <v>173</v>
      </c>
      <c r="B6" s="17" t="s">
        <v>173</v>
      </c>
      <c r="C6" s="17" t="s">
        <v>233</v>
      </c>
      <c r="D6" s="17" t="s">
        <v>234</v>
      </c>
      <c r="E6" s="17" t="s">
        <v>235</v>
      </c>
      <c r="F6" s="17" t="s">
        <v>236</v>
      </c>
      <c r="G6" s="17" t="s">
        <v>63</v>
      </c>
      <c r="H6" s="17" t="s">
        <v>237</v>
      </c>
      <c r="I6" s="17" t="s">
        <v>58</v>
      </c>
      <c r="K6" s="17" t="s">
        <v>238</v>
      </c>
      <c r="L6" s="17" t="s">
        <v>239</v>
      </c>
      <c r="M6" s="17" t="s">
        <v>240</v>
      </c>
    </row>
    <row r="7" spans="1:20" ht="15.75" customHeight="1" x14ac:dyDescent="0.35">
      <c r="A7" s="14" t="s">
        <v>174</v>
      </c>
      <c r="B7" s="14" t="s">
        <v>241</v>
      </c>
      <c r="C7" s="14" t="s">
        <v>242</v>
      </c>
      <c r="D7" s="14" t="s">
        <v>243</v>
      </c>
      <c r="E7" s="14" t="s">
        <v>244</v>
      </c>
      <c r="F7" s="14" t="s">
        <v>245</v>
      </c>
      <c r="G7" s="14" t="s">
        <v>246</v>
      </c>
      <c r="H7" s="14" t="s">
        <v>57</v>
      </c>
      <c r="I7" s="14" t="s">
        <v>247</v>
      </c>
      <c r="L7" s="14" t="s">
        <v>248</v>
      </c>
    </row>
    <row r="8" spans="1:20" ht="15.75" customHeight="1" x14ac:dyDescent="0.35">
      <c r="A8" s="17" t="s">
        <v>178</v>
      </c>
      <c r="B8" s="17" t="s">
        <v>178</v>
      </c>
      <c r="C8" s="17" t="s">
        <v>249</v>
      </c>
      <c r="D8" s="17" t="s">
        <v>250</v>
      </c>
      <c r="E8" s="17" t="s">
        <v>251</v>
      </c>
      <c r="F8" s="17" t="s">
        <v>252</v>
      </c>
      <c r="G8" s="17" t="s">
        <v>253</v>
      </c>
      <c r="H8" s="17" t="s">
        <v>254</v>
      </c>
      <c r="I8" s="17" t="s">
        <v>255</v>
      </c>
    </row>
    <row r="9" spans="1:20" ht="15.75" customHeight="1" x14ac:dyDescent="0.35">
      <c r="A9" s="14" t="s">
        <v>184</v>
      </c>
      <c r="B9" s="14" t="s">
        <v>256</v>
      </c>
      <c r="C9" s="14" t="s">
        <v>257</v>
      </c>
      <c r="D9" s="14" t="s">
        <v>258</v>
      </c>
      <c r="E9" s="14" t="s">
        <v>175</v>
      </c>
      <c r="F9" s="14" t="s">
        <v>259</v>
      </c>
      <c r="G9" s="14" t="s">
        <v>260</v>
      </c>
      <c r="H9" s="14" t="s">
        <v>261</v>
      </c>
      <c r="I9" s="14" t="s">
        <v>262</v>
      </c>
    </row>
    <row r="10" spans="1:20" ht="15.75" customHeight="1" x14ac:dyDescent="0.35">
      <c r="A10" s="17" t="s">
        <v>186</v>
      </c>
      <c r="B10" s="17" t="s">
        <v>263</v>
      </c>
      <c r="C10" s="17" t="s">
        <v>264</v>
      </c>
      <c r="D10" s="17" t="s">
        <v>265</v>
      </c>
      <c r="E10" s="17" t="s">
        <v>79</v>
      </c>
      <c r="F10" s="17" t="s">
        <v>172</v>
      </c>
      <c r="G10" s="17" t="s">
        <v>266</v>
      </c>
      <c r="I10" s="17" t="s">
        <v>267</v>
      </c>
    </row>
    <row r="11" spans="1:20" ht="15.75" customHeight="1" x14ac:dyDescent="0.35">
      <c r="A11" s="14" t="s">
        <v>187</v>
      </c>
      <c r="B11" s="14" t="s">
        <v>268</v>
      </c>
      <c r="C11" s="14" t="s">
        <v>269</v>
      </c>
      <c r="D11" s="14" t="s">
        <v>270</v>
      </c>
      <c r="E11" s="14" t="s">
        <v>271</v>
      </c>
      <c r="F11" s="14" t="s">
        <v>272</v>
      </c>
      <c r="G11" s="14" t="s">
        <v>273</v>
      </c>
      <c r="I11" s="14" t="s">
        <v>274</v>
      </c>
    </row>
    <row r="12" spans="1:20" ht="15.75" customHeight="1" x14ac:dyDescent="0.35">
      <c r="A12" s="17" t="s">
        <v>188</v>
      </c>
      <c r="B12" s="17" t="s">
        <v>275</v>
      </c>
      <c r="C12" s="17" t="s">
        <v>276</v>
      </c>
      <c r="D12" s="17" t="s">
        <v>277</v>
      </c>
      <c r="E12" s="17" t="s">
        <v>278</v>
      </c>
      <c r="F12" s="17" t="s">
        <v>279</v>
      </c>
      <c r="G12" s="17" t="s">
        <v>280</v>
      </c>
      <c r="I12" s="17" t="s">
        <v>281</v>
      </c>
    </row>
    <row r="13" spans="1:20" ht="15.75" customHeight="1" x14ac:dyDescent="0.35">
      <c r="A13" s="14" t="s">
        <v>189</v>
      </c>
      <c r="B13" s="14" t="s">
        <v>282</v>
      </c>
      <c r="C13" s="14" t="s">
        <v>283</v>
      </c>
      <c r="D13" s="14" t="s">
        <v>282</v>
      </c>
      <c r="E13" s="14" t="s">
        <v>259</v>
      </c>
      <c r="G13" s="14" t="s">
        <v>284</v>
      </c>
      <c r="I13" s="14" t="s">
        <v>285</v>
      </c>
    </row>
    <row r="14" spans="1:20" ht="15.75" customHeight="1" x14ac:dyDescent="0.35">
      <c r="B14" s="17" t="s">
        <v>286</v>
      </c>
      <c r="C14" s="17" t="s">
        <v>287</v>
      </c>
      <c r="D14" s="17" t="s">
        <v>189</v>
      </c>
      <c r="E14" s="17" t="s">
        <v>172</v>
      </c>
      <c r="G14" s="17" t="s">
        <v>189</v>
      </c>
      <c r="I14" s="17" t="s">
        <v>288</v>
      </c>
    </row>
    <row r="15" spans="1:20" ht="15.75" customHeight="1" x14ac:dyDescent="0.35">
      <c r="B15" s="14" t="s">
        <v>189</v>
      </c>
      <c r="C15" s="14" t="s">
        <v>289</v>
      </c>
      <c r="E15" s="14" t="s">
        <v>170</v>
      </c>
      <c r="I15" s="14" t="s">
        <v>290</v>
      </c>
    </row>
    <row r="16" spans="1:20" ht="15.75" customHeight="1" x14ac:dyDescent="0.35">
      <c r="C16" s="17" t="s">
        <v>291</v>
      </c>
      <c r="E16" s="17" t="s">
        <v>185</v>
      </c>
      <c r="I16" s="17" t="s">
        <v>292</v>
      </c>
    </row>
    <row r="17" spans="3:9" ht="15.75" customHeight="1" x14ac:dyDescent="0.35">
      <c r="C17" s="14" t="s">
        <v>293</v>
      </c>
      <c r="I17" s="14" t="s">
        <v>294</v>
      </c>
    </row>
    <row r="18" spans="3:9" ht="15.75" customHeight="1" x14ac:dyDescent="0.35">
      <c r="C18" s="17" t="s">
        <v>295</v>
      </c>
      <c r="I18" s="17" t="s">
        <v>296</v>
      </c>
    </row>
    <row r="19" spans="3:9" ht="15.75" customHeight="1" x14ac:dyDescent="0.35">
      <c r="C19" s="14" t="s">
        <v>297</v>
      </c>
    </row>
  </sheetData>
  <mergeCells count="2">
    <mergeCell ref="A1:T1"/>
    <mergeCell ref="A2:T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Competition Submissions</vt:lpstr>
      <vt:lpstr>Team Members</vt:lpstr>
      <vt:lpstr>Competitions Database</vt:lpstr>
      <vt:lpstr>Achievements</vt:lpstr>
      <vt:lpstr>Student Directory</vt:lpstr>
      <vt:lpstr>Dashboard</vt:lpstr>
      <vt:lpstr>Drop-Down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abd elsalam</cp:lastModifiedBy>
  <cp:revision>1</cp:revision>
  <dcterms:created xsi:type="dcterms:W3CDTF">2026-06-25T20:44:17Z</dcterms:created>
  <dcterms:modified xsi:type="dcterms:W3CDTF">2026-06-25T21:53:54Z</dcterms:modified>
  <dc:language>en-US</dc:language>
</cp:coreProperties>
</file>