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xmlns:r="http://schemas.openxmlformats.org/officeDocument/2006/relationships" name="Project Showcase" sheetId="1" state="visible" r:id="rId1"/>
    <sheet xmlns:r="http://schemas.openxmlformats.org/officeDocument/2006/relationships" name="Competition Submissions" sheetId="2" state="visible" r:id="rId2"/>
    <sheet xmlns:r="http://schemas.openxmlformats.org/officeDocument/2006/relationships" name="Team Members" sheetId="3" state="visible" r:id="rId3"/>
    <sheet xmlns:r="http://schemas.openxmlformats.org/officeDocument/2006/relationships" name="Competitions Database" sheetId="4" state="visible" r:id="rId4"/>
    <sheet xmlns:r="http://schemas.openxmlformats.org/officeDocument/2006/relationships" name="Achievements" sheetId="5" state="visible" r:id="rId5"/>
    <sheet xmlns:r="http://schemas.openxmlformats.org/officeDocument/2006/relationships" name="Student Directory" sheetId="6" state="visible" r:id="rId6"/>
    <sheet xmlns:r="http://schemas.openxmlformats.org/officeDocument/2006/relationships" name="Dashboard" sheetId="7" state="visible" r:id="rId7"/>
    <sheet xmlns:r="http://schemas.openxmlformats.org/officeDocument/2006/relationships" name="Drop-Down Lists" sheetId="8" state="visible" r:id="rId8"/>
  </sheets>
  <definedNames>
    <definedName name="_xlnm._FilterDatabase" localSheetId="1" hidden="1">'Competition Submissions'!$A$4:$AS$4</definedName>
    <definedName name="_xlnm._FilterDatabase" localSheetId="2" hidden="1">'Team Members'!$A$4:$L$4</definedName>
    <definedName name="_xlnm._FilterDatabase" localSheetId="3" hidden="1">'Competitions Database'!$A$4:$O$4</definedName>
    <definedName name="_xlnm._FilterDatabase" localSheetId="4" hidden="1">'Achievements'!$A$4:$L$4</definedName>
    <definedName name="_xlnm._FilterDatabase" localSheetId="5" hidden="1">'Student Directory'!$A$4:$O$4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26">
    <font>
      <name val="Calibri"/>
      <charset val="1"/>
      <family val="2"/>
      <color theme="1"/>
      <sz val="11"/>
    </font>
    <font>
      <name val="Arial"/>
      <charset val="1"/>
      <b val="1"/>
      <color rgb="FFFFFFFF"/>
      <sz val="16"/>
    </font>
    <font>
      <name val="Arial"/>
      <charset val="1"/>
      <i val="1"/>
      <color rgb="FF00B4D8"/>
      <sz val="10"/>
    </font>
    <font>
      <name val="Arial"/>
      <charset val="1"/>
      <b val="1"/>
      <color rgb="FFFFFFFF"/>
      <sz val="9"/>
    </font>
    <font>
      <name val="Arial"/>
      <charset val="1"/>
      <color rgb="FF1E293B"/>
      <sz val="10"/>
    </font>
    <font>
      <name val="Arial"/>
      <charset val="1"/>
      <b val="1"/>
      <color rgb="FFFFFFFF"/>
      <sz val="10"/>
    </font>
    <font>
      <name val="Arial"/>
      <charset val="1"/>
      <b val="1"/>
      <color rgb="FFFFFFFF"/>
      <sz val="18"/>
    </font>
    <font>
      <name val="Arial"/>
      <charset val="1"/>
      <b val="1"/>
      <color rgb="FF0D2561"/>
      <sz val="9"/>
    </font>
    <font>
      <name val="Arial"/>
      <charset val="1"/>
      <b val="1"/>
      <color rgb="FF0D2561"/>
      <sz val="20"/>
    </font>
    <font>
      <name val="Arial"/>
      <charset val="1"/>
      <b val="1"/>
      <color rgb="FF1A3C8F"/>
      <sz val="20"/>
    </font>
    <font>
      <name val="Arial"/>
      <charset val="1"/>
      <b val="1"/>
      <color rgb="FF0E7490"/>
      <sz val="20"/>
    </font>
    <font>
      <name val="Arial"/>
      <charset val="1"/>
      <b val="1"/>
      <color rgb="FF6D28D9"/>
      <sz val="20"/>
    </font>
    <font>
      <name val="Arial"/>
      <charset val="1"/>
      <b val="1"/>
      <color rgb="FF065F46"/>
      <sz val="20"/>
    </font>
    <font>
      <name val="Arial"/>
      <charset val="1"/>
      <b val="1"/>
      <color rgb="FFB45309"/>
      <sz val="20"/>
    </font>
    <font>
      <name val="Arial"/>
      <charset val="1"/>
      <b val="1"/>
      <color rgb="FF9F1239"/>
      <sz val="20"/>
    </font>
    <font>
      <name val="Arial"/>
      <charset val="1"/>
      <b val="1"/>
      <color rgb="FF00B4D8"/>
      <sz val="20"/>
    </font>
    <font>
      <name val="Arial"/>
      <charset val="1"/>
      <b val="1"/>
      <color rgb="FFFFFFFF"/>
      <sz val="11"/>
    </font>
    <font>
      <name val="Arial"/>
      <charset val="1"/>
      <b val="1"/>
      <color rgb="FF1A3C8F"/>
      <sz val="11"/>
    </font>
    <font>
      <name val="Arial"/>
      <charset val="1"/>
      <b val="1"/>
      <color rgb="FF0D2561"/>
      <sz val="11"/>
    </font>
    <font>
      <name val="Arial"/>
      <color rgb="FF1E293B"/>
      <sz val="10"/>
    </font>
    <font>
      <name val="Arial"/>
      <b val="1"/>
      <color rgb="00FFFFFF"/>
      <sz val="16"/>
    </font>
    <font>
      <name val="Arial"/>
      <i val="1"/>
      <color rgb="0000B4D8"/>
      <sz val="10"/>
    </font>
    <font>
      <name val="Arial"/>
      <b val="1"/>
      <color rgb="00FFFFFF"/>
      <sz val="12"/>
    </font>
    <font>
      <name val="Arial"/>
      <b val="1"/>
      <color rgb="000D2561"/>
      <sz val="10"/>
    </font>
    <font>
      <name val="Arial"/>
      <b val="1"/>
      <color rgb="0000B4D8"/>
      <sz val="10"/>
    </font>
    <font>
      <name val="Arial"/>
      <sz val="10"/>
    </font>
  </fonts>
  <fills count="21">
    <fill>
      <patternFill/>
    </fill>
    <fill>
      <patternFill patternType="gray125"/>
    </fill>
    <fill>
      <patternFill patternType="solid">
        <fgColor rgb="FF0D2561"/>
        <bgColor rgb="FF1E293B"/>
      </patternFill>
    </fill>
    <fill>
      <patternFill patternType="solid">
        <fgColor rgb="FF1A3C8F"/>
        <bgColor rgb="FF0D2561"/>
      </patternFill>
    </fill>
    <fill>
      <patternFill patternType="solid">
        <fgColor rgb="FF0E7490"/>
        <bgColor rgb="FF0369A1"/>
      </patternFill>
    </fill>
    <fill>
      <patternFill patternType="solid">
        <fgColor rgb="FF065F46"/>
        <bgColor rgb="FF166534"/>
      </patternFill>
    </fill>
    <fill>
      <patternFill patternType="solid">
        <fgColor rgb="FF6D28D9"/>
        <bgColor rgb="FF800080"/>
      </patternFill>
    </fill>
    <fill>
      <patternFill patternType="solid">
        <fgColor rgb="FFB45309"/>
        <bgColor rgb="FFC0504D"/>
      </patternFill>
    </fill>
    <fill>
      <patternFill patternType="solid">
        <fgColor rgb="FF9F1239"/>
        <bgColor rgb="FF991B1B"/>
      </patternFill>
    </fill>
    <fill>
      <patternFill patternType="solid">
        <fgColor rgb="FF0369A1"/>
        <bgColor rgb="FF0E7490"/>
      </patternFill>
    </fill>
    <fill>
      <patternFill patternType="solid">
        <fgColor rgb="FF166534"/>
        <bgColor rgb="FF065F46"/>
      </patternFill>
    </fill>
    <fill>
      <patternFill patternType="solid">
        <fgColor rgb="FF374151"/>
        <bgColor rgb="FF475569"/>
      </patternFill>
    </fill>
    <fill>
      <patternFill patternType="solid">
        <fgColor rgb="FF00B4D8"/>
        <bgColor rgb="FF4BACC6"/>
      </patternFill>
    </fill>
    <fill>
      <patternFill patternType="solid">
        <fgColor rgb="FFFFFFFF"/>
        <bgColor rgb="FFF9F9F9"/>
      </patternFill>
    </fill>
    <fill>
      <patternFill patternType="solid">
        <fgColor rgb="FFF0F4FA"/>
        <bgColor rgb="FFF9F9F9"/>
      </patternFill>
    </fill>
    <fill>
      <patternFill patternType="solid">
        <fgColor rgb="000D2561"/>
      </patternFill>
    </fill>
    <fill>
      <patternFill patternType="solid">
        <fgColor rgb="001A3C8F"/>
      </patternFill>
    </fill>
    <fill>
      <patternFill patternType="solid">
        <fgColor rgb="00E6EDF5"/>
      </patternFill>
    </fill>
    <fill>
      <patternFill patternType="solid">
        <fgColor rgb="00F0F4FA"/>
      </patternFill>
    </fill>
    <fill>
      <patternFill patternType="solid">
        <fgColor rgb="00FFFFFF"/>
      </patternFill>
    </fill>
    <fill>
      <patternFill patternType="solid">
        <fgColor rgb="00F9F9F9"/>
      </patternFill>
    </fill>
  </fills>
  <borders count="13">
    <border>
      <left/>
      <right/>
      <top/>
      <bottom/>
      <diagonal/>
    </border>
    <border>
      <left style="thin">
        <color rgb="FFC5D3E8"/>
      </left>
      <right style="thin">
        <color rgb="FFC5D3E8"/>
      </right>
      <top style="thin">
        <color rgb="FFC5D3E8"/>
      </top>
      <bottom style="thin">
        <color rgb="FFC5D3E8"/>
      </bottom>
      <diagonal/>
    </border>
    <border>
      <left style="thin">
        <color rgb="FFC5D3E8"/>
      </left>
      <right/>
      <top style="thin">
        <color rgb="FFC5D3E8"/>
      </top>
      <bottom style="thin">
        <color rgb="FFC5D3E8"/>
      </bottom>
      <diagonal/>
    </border>
    <border>
      <left/>
      <right/>
      <top style="thin">
        <color rgb="FFC5D3E8"/>
      </top>
      <bottom style="thin">
        <color rgb="FFC5D3E8"/>
      </bottom>
      <diagonal/>
    </border>
    <border>
      <left/>
      <right style="thin">
        <color rgb="FFC5D3E8"/>
      </right>
      <top style="thin">
        <color rgb="FFC5D3E8"/>
      </top>
      <bottom style="thin">
        <color rgb="FFC5D3E8"/>
      </bottom>
      <diagonal/>
    </border>
    <border>
      <left/>
      <right/>
      <top style="thin">
        <color rgb="FFC5D3E8"/>
      </top>
      <bottom/>
      <diagonal/>
    </border>
    <border>
      <left/>
      <right style="thin">
        <color rgb="FFC5D3E8"/>
      </right>
      <top style="thin">
        <color rgb="FFC5D3E8"/>
      </top>
      <bottom/>
      <diagonal/>
    </border>
    <border>
      <left style="thin">
        <color rgb="FFC5D3E8"/>
      </left>
      <right style="thin">
        <color rgb="FFC5D3E8"/>
      </right>
      <top style="thin">
        <color rgb="FFC5D3E8"/>
      </top>
      <bottom style="thin">
        <color rgb="FFC5D3E8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3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vertical="center" wrapText="1"/>
    </xf>
    <xf numFmtId="164" fontId="4" fillId="13" borderId="1" applyAlignment="1" pivotButton="0" quotePrefix="0" xfId="0">
      <alignment vertical="center" wrapText="1"/>
    </xf>
    <xf numFmtId="1" fontId="4" fillId="13" borderId="1" applyAlignment="1" pivotButton="0" quotePrefix="0" xfId="0">
      <alignment vertical="center" wrapText="1"/>
    </xf>
    <xf numFmtId="9" fontId="4" fillId="13" borderId="1" applyAlignment="1" pivotButton="0" quotePrefix="0" xfId="0">
      <alignment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0" pivotButton="0" quotePrefix="0" xfId="0"/>
    <xf numFmtId="0" fontId="17" fillId="13" borderId="1" applyAlignment="1" pivotButton="0" quotePrefix="0" xfId="0">
      <alignment vertical="center"/>
    </xf>
    <xf numFmtId="0" fontId="4" fillId="13" borderId="1" applyAlignment="1" pivotButton="0" quotePrefix="0" xfId="0">
      <alignment vertical="center"/>
    </xf>
    <xf numFmtId="0" fontId="0" fillId="13" borderId="1" applyAlignment="1" pivotButton="0" quotePrefix="0" xfId="0">
      <alignment vertical="center"/>
    </xf>
    <xf numFmtId="0" fontId="17" fillId="14" borderId="1" applyAlignment="1" pivotButton="0" quotePrefix="0" xfId="0">
      <alignment vertical="center"/>
    </xf>
    <xf numFmtId="0" fontId="4" fillId="14" borderId="1" applyAlignment="1" pivotButton="0" quotePrefix="0" xfId="0">
      <alignment vertical="center"/>
    </xf>
    <xf numFmtId="0" fontId="0" fillId="14" borderId="1" applyAlignment="1" pivotButton="0" quotePrefix="0" xfId="0">
      <alignment vertical="center"/>
    </xf>
    <xf numFmtId="0" fontId="17" fillId="14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6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13" borderId="2" applyAlignment="1" pivotButton="0" quotePrefix="0" xfId="0">
      <alignment vertical="center"/>
    </xf>
    <xf numFmtId="0" fontId="0" fillId="0" borderId="3" pivotButton="0" quotePrefix="0" xfId="0"/>
    <xf numFmtId="0" fontId="4" fillId="14" borderId="2" applyAlignment="1" pivotButton="0" quotePrefix="0" xfId="0">
      <alignment vertical="center"/>
    </xf>
    <xf numFmtId="0" fontId="9" fillId="14" borderId="0" applyAlignment="1" pivotButton="0" quotePrefix="0" xfId="0">
      <alignment horizontal="center" vertical="center"/>
    </xf>
    <xf numFmtId="0" fontId="10" fillId="14" borderId="0" applyAlignment="1" pivotButton="0" quotePrefix="0" xfId="0">
      <alignment horizontal="center" vertical="center"/>
    </xf>
    <xf numFmtId="0" fontId="13" fillId="14" borderId="0" applyAlignment="1" pivotButton="0" quotePrefix="0" xfId="0">
      <alignment horizontal="center" vertical="center"/>
    </xf>
    <xf numFmtId="0" fontId="14" fillId="14" borderId="0" applyAlignment="1" pivotButton="0" quotePrefix="0" xfId="0">
      <alignment horizontal="center" vertical="center"/>
    </xf>
    <xf numFmtId="165" fontId="18" fillId="14" borderId="2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0" fillId="0" borderId="4" pivotButton="0" quotePrefix="0" xfId="0"/>
    <xf numFmtId="0" fontId="18" fillId="14" borderId="2" applyAlignment="1" pivotButton="0" quotePrefix="0" xfId="0">
      <alignment horizontal="center" vertical="center"/>
    </xf>
    <xf numFmtId="0" fontId="15" fillId="14" borderId="0" applyAlignment="1" pivotButton="0" quotePrefix="0" xfId="0">
      <alignment horizontal="center" vertical="center"/>
    </xf>
    <xf numFmtId="0" fontId="16" fillId="5" borderId="2" applyAlignment="1" pivotButton="0" quotePrefix="0" xfId="0">
      <alignment horizontal="left" vertical="center"/>
    </xf>
    <xf numFmtId="0" fontId="16" fillId="8" borderId="2" applyAlignment="1" pivotButton="0" quotePrefix="0" xfId="0">
      <alignment horizontal="left" vertical="center"/>
    </xf>
    <xf numFmtId="0" fontId="17" fillId="13" borderId="2" applyAlignment="1" pivotButton="0" quotePrefix="0" xfId="0">
      <alignment horizontal="center" vertical="center"/>
    </xf>
    <xf numFmtId="0" fontId="18" fillId="13" borderId="2" applyAlignment="1" pivotButton="0" quotePrefix="0" xfId="0">
      <alignment horizontal="center" vertical="center"/>
    </xf>
    <xf numFmtId="0" fontId="3" fillId="12" borderId="0" applyAlignment="1" pivotButton="0" quotePrefix="0" xfId="0">
      <alignment horizontal="center" vertical="center"/>
    </xf>
    <xf numFmtId="0" fontId="8" fillId="14" borderId="0" applyAlignment="1" pivotButton="0" quotePrefix="0" xfId="0">
      <alignment horizontal="center" vertical="center"/>
    </xf>
    <xf numFmtId="0" fontId="11" fillId="14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center" vertical="center"/>
    </xf>
    <xf numFmtId="0" fontId="16" fillId="2" borderId="2" applyAlignment="1" pivotButton="0" quotePrefix="0" xfId="0">
      <alignment horizontal="left" vertical="center"/>
    </xf>
    <xf numFmtId="0" fontId="17" fillId="14" borderId="2" applyAlignment="1" pivotButton="0" quotePrefix="0" xfId="0">
      <alignment horizontal="center" vertical="center"/>
    </xf>
    <xf numFmtId="0" fontId="3" fillId="12" borderId="2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16" fillId="4" borderId="2" applyAlignment="1" pivotButton="0" quotePrefix="0" xfId="0">
      <alignment horizontal="left" vertical="center"/>
    </xf>
    <xf numFmtId="0" fontId="20" fillId="15" borderId="0" applyAlignment="1" pivotButton="0" quotePrefix="0" xfId="0">
      <alignment horizontal="center" vertical="center"/>
    </xf>
    <xf numFmtId="0" fontId="21" fillId="16" borderId="0" applyAlignment="1" pivotButton="0" quotePrefix="0" xfId="0">
      <alignment horizontal="center" vertical="center"/>
    </xf>
    <xf numFmtId="0" fontId="22" fillId="16" borderId="8" applyAlignment="1" pivotButton="0" quotePrefix="0" xfId="0">
      <alignment horizontal="left" vertical="center"/>
    </xf>
    <xf numFmtId="0" fontId="0" fillId="16" borderId="8" pivotButton="0" quotePrefix="0" xfId="0"/>
    <xf numFmtId="0" fontId="23" fillId="17" borderId="8" applyAlignment="1" pivotButton="0" quotePrefix="0" xfId="0">
      <alignment horizontal="left" vertical="center" indent="1"/>
    </xf>
    <xf numFmtId="0" fontId="23" fillId="0" borderId="8" applyAlignment="1" pivotButton="0" quotePrefix="0" xfId="0">
      <alignment horizontal="left" vertical="center" indent="1"/>
    </xf>
    <xf numFmtId="0" fontId="23" fillId="0" borderId="8" pivotButton="0" quotePrefix="0" xfId="0"/>
    <xf numFmtId="0" fontId="24" fillId="0" borderId="8" applyAlignment="1" pivotButton="0" quotePrefix="0" xfId="0">
      <alignment horizontal="left" vertical="center" indent="1"/>
    </xf>
    <xf numFmtId="0" fontId="24" fillId="0" borderId="8" pivotButton="0" quotePrefix="0" xfId="0"/>
    <xf numFmtId="0" fontId="25" fillId="0" borderId="8" applyAlignment="1" pivotButton="0" quotePrefix="0" xfId="0">
      <alignment horizontal="left" vertical="center" indent="1"/>
    </xf>
    <xf numFmtId="0" fontId="25" fillId="0" borderId="8" pivotButton="0" quotePrefix="0" xfId="0"/>
    <xf numFmtId="0" fontId="23" fillId="18" borderId="8" applyAlignment="1" pivotButton="0" quotePrefix="0" xfId="0">
      <alignment horizontal="left" vertical="center" indent="1"/>
    </xf>
    <xf numFmtId="0" fontId="0" fillId="18" borderId="8" pivotButton="0" quotePrefix="0" xfId="0"/>
    <xf numFmtId="0" fontId="23" fillId="17" borderId="8" applyAlignment="1" pivotButton="0" quotePrefix="0" xfId="0">
      <alignment horizontal="center" vertical="center"/>
    </xf>
    <xf numFmtId="0" fontId="0" fillId="17" borderId="8" pivotButton="0" quotePrefix="0" xfId="0"/>
    <xf numFmtId="0" fontId="25" fillId="19" borderId="8" applyAlignment="1" pivotButton="0" quotePrefix="0" xfId="0">
      <alignment horizontal="center" vertical="center"/>
    </xf>
    <xf numFmtId="0" fontId="25" fillId="19" borderId="8" applyAlignment="1" pivotButton="0" quotePrefix="0" xfId="0">
      <alignment horizontal="left" vertical="center" indent="1"/>
    </xf>
    <xf numFmtId="0" fontId="0" fillId="19" borderId="8" pivotButton="0" quotePrefix="0" xfId="0"/>
    <xf numFmtId="0" fontId="25" fillId="20" borderId="8" applyAlignment="1" pivotButton="0" quotePrefix="0" xfId="0">
      <alignment horizontal="center" vertical="center"/>
    </xf>
    <xf numFmtId="0" fontId="25" fillId="20" borderId="8" applyAlignment="1" pivotButton="0" quotePrefix="0" xfId="0">
      <alignment horizontal="left" vertical="center" indent="1"/>
    </xf>
    <xf numFmtId="0" fontId="0" fillId="20" borderId="8" pivotButton="0" quotePrefix="0" xfId="0"/>
    <xf numFmtId="0" fontId="25" fillId="0" borderId="8" applyAlignment="1" pivotButton="0" quotePrefix="0" xfId="0">
      <alignment horizontal="left" vertical="top" wrapText="1" indent="1"/>
    </xf>
    <xf numFmtId="0" fontId="0" fillId="0" borderId="8" pivotButton="0" quotePrefix="0" xfId="0"/>
    <xf numFmtId="0" fontId="23" fillId="17" borderId="8" applyAlignment="1" pivotButton="0" quotePrefix="0" xfId="0">
      <alignment horizontal="left" vertical="top" wrapText="1" indent="1"/>
    </xf>
    <xf numFmtId="0" fontId="19" fillId="13" borderId="7" applyAlignment="1" pivotButton="0" quotePrefix="0" xfId="0">
      <alignment vertical="center" wrapText="1"/>
    </xf>
    <xf numFmtId="164" fontId="19" fillId="13" borderId="7" applyAlignment="1" pivotButton="0" quotePrefix="0" xfId="0">
      <alignment vertical="center" wrapText="1"/>
    </xf>
    <xf numFmtId="1" fontId="19" fillId="13" borderId="7" applyAlignment="1" pivotButton="0" quotePrefix="0" xfId="0">
      <alignment vertical="center" wrapText="1"/>
    </xf>
    <xf numFmtId="9" fontId="19" fillId="13" borderId="7" applyAlignment="1" pivotButton="0" quotePrefix="0" xfId="0">
      <alignment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dxfs count="16">
    <dxf>
      <font>
        <name val="Arial"/>
        <charset val="1"/>
        <color rgb="FF64748B"/>
      </font>
      <fill>
        <patternFill>
          <bgColor rgb="FFD1D9E6"/>
        </patternFill>
      </fill>
    </dxf>
    <dxf>
      <font>
        <name val="Arial"/>
        <charset val="1"/>
        <color rgb="FF1A3C8F"/>
      </font>
      <fill>
        <patternFill>
          <bgColor rgb="FFDBEAFE"/>
        </patternFill>
      </fill>
    </dxf>
    <dxf>
      <font>
        <name val="Arial"/>
        <charset val="1"/>
        <b val="1"/>
        <color rgb="FF065F46"/>
      </font>
      <fill>
        <patternFill>
          <bgColor rgb="FFD1FAE5"/>
        </patternFill>
      </fill>
    </dxf>
    <dxf>
      <font>
        <name val="Arial"/>
        <charset val="1"/>
        <b val="1"/>
        <color rgb="FF065F46"/>
      </font>
      <fill>
        <patternFill>
          <bgColor rgb="FFD1FAE5"/>
        </patternFill>
      </fill>
    </dxf>
    <dxf>
      <font>
        <name val="Arial"/>
        <charset val="1"/>
        <color rgb="FF854D0E"/>
      </font>
      <fill>
        <patternFill>
          <bgColor rgb="FFFEF9C3"/>
        </patternFill>
      </fill>
    </dxf>
    <dxf>
      <font>
        <name val="Arial"/>
        <charset val="1"/>
        <b val="1"/>
        <color rgb="FF065F46"/>
      </font>
      <fill>
        <patternFill>
          <bgColor rgb="FFD1FAE5"/>
        </patternFill>
      </fill>
    </dxf>
    <dxf>
      <font>
        <name val="Arial"/>
        <charset val="1"/>
        <b val="1"/>
        <color rgb="FF1A3C8F"/>
      </font>
      <fill>
        <patternFill>
          <bgColor rgb="FFDBEAFE"/>
        </patternFill>
      </fill>
    </dxf>
    <dxf>
      <font>
        <name val="Arial"/>
        <charset val="1"/>
        <color rgb="FF475569"/>
      </font>
      <fill>
        <patternFill>
          <bgColor rgb="FFD1D9E6"/>
        </patternFill>
      </fill>
    </dxf>
    <dxf>
      <font>
        <name val="Arial"/>
        <charset val="1"/>
        <b val="1"/>
        <color rgb="FF065F46"/>
      </font>
      <fill>
        <patternFill>
          <bgColor rgb="FFD1FAE5"/>
        </patternFill>
      </fill>
    </dxf>
    <dxf>
      <font>
        <name val="Arial"/>
        <charset val="1"/>
        <b val="1"/>
        <color rgb="FF854D0E"/>
      </font>
      <fill>
        <patternFill>
          <bgColor rgb="FFFEF9C3"/>
        </patternFill>
      </fill>
    </dxf>
    <dxf>
      <font>
        <name val="Arial"/>
        <charset val="1"/>
        <b val="1"/>
        <color rgb="FF991B1B"/>
      </font>
      <fill>
        <patternFill>
          <bgColor rgb="FFFEE2E2"/>
        </patternFill>
      </fill>
    </dxf>
    <dxf>
      <font>
        <name val="Arial"/>
        <charset val="1"/>
        <b val="1"/>
        <color rgb="FF1A3C8F"/>
      </font>
      <fill>
        <patternFill>
          <bgColor rgb="FFDBEAFE"/>
        </patternFill>
      </fill>
    </dxf>
    <dxf>
      <font>
        <name val="Arial"/>
        <charset val="1"/>
        <b val="1"/>
        <color rgb="FF065F46"/>
      </font>
      <fill>
        <patternFill>
          <bgColor rgb="FFD1FAE5"/>
        </patternFill>
      </fill>
    </dxf>
    <dxf>
      <font>
        <name val="Arial"/>
        <charset val="1"/>
        <color rgb="FF991B1B"/>
      </font>
      <fill>
        <patternFill>
          <bgColor rgb="FFFEE2E2"/>
        </patternFill>
      </fill>
    </dxf>
    <dxf>
      <fill>
        <patternFill>
          <bgColor rgb="FFFEF9C3"/>
        </patternFill>
      </fill>
    </dxf>
    <dxf>
      <font>
        <name val="Arial"/>
        <charset val="1"/>
        <color rgb="FF991B1B"/>
      </font>
      <fill>
        <patternFill>
          <bgColor rgb="FFFEE2E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F1239"/>
      <rgbColor rgb="FF166534"/>
      <rgbColor rgb="FF000080"/>
      <rgbColor rgb="FF808000"/>
      <rgbColor rgb="FF6D28D9"/>
      <rgbColor rgb="FF0E7490"/>
      <rgbColor rgb="FFD1D9E6"/>
      <rgbColor rgb="FF878787"/>
      <rgbColor rgb="FF9999FF"/>
      <rgbColor rgb="FFC0504D"/>
      <rgbColor rgb="FFFEF9C3"/>
      <rgbColor rgb="FFDBEAFE"/>
      <rgbColor rgb="FF660066"/>
      <rgbColor rgb="FFF79646"/>
      <rgbColor rgb="FF0369A1"/>
      <rgbColor rgb="FFC5D3E8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B4D8"/>
      <rgbColor rgb="FFF0F4FA"/>
      <rgbColor rgb="FFD1FAE5"/>
      <rgbColor rgb="FFF9F9F9"/>
      <rgbColor rgb="FFD9D9D9"/>
      <rgbColor rgb="FFFF99CC"/>
      <rgbColor rgb="FFCC99FF"/>
      <rgbColor rgb="FFFEE2E2"/>
      <rgbColor rgb="FF4F81BD"/>
      <rgbColor rgb="FF4BACC6"/>
      <rgbColor rgb="FF9BBB59"/>
      <rgbColor rgb="FFFFCC00"/>
      <rgbColor rgb="FFF59E0B"/>
      <rgbColor rgb="FFB45309"/>
      <rgbColor rgb="FF64748B"/>
      <rgbColor rgb="FF8064A2"/>
      <rgbColor rgb="FF0D2561"/>
      <rgbColor rgb="FF475569"/>
      <rgbColor rgb="FF003300"/>
      <rgbColor rgb="FF374151"/>
      <rgbColor rgb="FF991B1B"/>
      <rgbColor rgb="FF854D0E"/>
      <rgbColor rgb="FF1A3C8F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Participation by Track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Dashboard!$S$3</f>
              <strCache>
                <ptCount val="1"/>
                <pt idx="0">
                  <v>Count</v>
                </pt>
              </strCache>
            </strRef>
          </tx>
          <spPr>
            <a:solidFill xmlns:a="http://schemas.openxmlformats.org/drawingml/2006/main">
              <a:srgbClr val="1A3C8F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Dashboard!$R$4:$R$13</f>
              <strCache>
                <ptCount val="10"/>
                <pt idx="0">
                  <v>AI &amp; Machine Learning</v>
                </pt>
                <pt idx="1">
                  <v>Data Science</v>
                </pt>
                <pt idx="2">
                  <v>Web Development</v>
                </pt>
                <pt idx="3">
                  <v>Mobile Development</v>
                </pt>
                <pt idx="4">
                  <v>Cybersecurity</v>
                </pt>
                <pt idx="5">
                  <v>Cloud Computing</v>
                </pt>
                <pt idx="6">
                  <v>UI/UX Design</v>
                </pt>
                <pt idx="7">
                  <v>Business Technology</v>
                </pt>
                <pt idx="8">
                  <v>Embedded Systems</v>
                </pt>
                <pt idx="9">
                  <v>Other</v>
                </pt>
              </strCache>
            </strRef>
          </cat>
          <val>
            <numRef>
              <f>Dashboard!$S$4:$S$13</f>
              <numCache>
                <formatCode>General</formatCode>
                <ptCount val="10"/>
                <pt idx="0">
                  <v>3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7208048"/>
        <axId val="33958058"/>
      </barChart>
      <catAx>
        <axId val="5720804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Track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33958058"/>
        <crosses val="autoZero"/>
        <auto val="1"/>
        <lblAlgn val="ctr"/>
        <lblOffset val="100"/>
        <noMultiLvlLbl val="0"/>
      </catAx>
      <valAx>
        <axId val="3395805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Participants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5720804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Submission Status Distribution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pieChart>
        <varyColors val="1"/>
        <ser>
          <idx val="0"/>
          <order val="0"/>
          <tx>
            <strRef>
              <f>Dashboard!$V$3</f>
              <strCache>
                <ptCount val="1"/>
                <pt idx="0">
                  <v>Count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dPt>
            <idx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C0504D"/>
              </a:solidFill>
              <a:ln xmlns:a="http://schemas.openxmlformats.org/drawingml/2006/main" w="9360">
                <a:solidFill>
                  <a:srgbClr val="F9F9F9"/>
                </a:solidFill>
                <a:prstDash val="solid"/>
                <a:round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9BBB59"/>
              </a:solidFill>
              <a:ln xmlns:a="http://schemas.openxmlformats.org/drawingml/2006/main" w="9360">
                <a:solidFill>
                  <a:srgbClr val="F9F9F9"/>
                </a:solidFill>
                <a:prstDash val="solid"/>
                <a:round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 w="9360">
                <a:solidFill>
                  <a:srgbClr val="F9F9F9"/>
                </a:solidFill>
                <a:prstDash val="solid"/>
                <a:round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4BACC6"/>
              </a:solidFill>
              <a:ln xmlns:a="http://schemas.openxmlformats.org/drawingml/2006/main" w="9360">
                <a:solidFill>
                  <a:srgbClr val="F9F9F9"/>
                </a:solidFill>
                <a:prstDash val="solid"/>
                <a:round/>
              </a:ln>
            </spPr>
          </dPt>
          <dPt>
            <idx val="5"/>
            <bubble3D val="0"/>
            <spPr>
              <a:solidFill xmlns:a="http://schemas.openxmlformats.org/drawingml/2006/main">
                <a:srgbClr val="F79646"/>
              </a:solidFill>
              <a:ln xmlns:a="http://schemas.openxmlformats.org/drawingml/2006/main" w="9360">
                <a:solidFill>
                  <a:srgbClr val="F9F9F9"/>
                </a:solidFill>
                <a:prstDash val="solid"/>
                <a:round/>
              </a:ln>
            </spPr>
          </dPt>
          <dLbls>
            <dLbl>
              <idx val="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>None</a:t>
                  </a:r>
                  <a:endParaRPr lang="en-US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>None</a:t>
                  </a:r>
                  <a:endParaRPr lang="en-US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2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>None</a:t>
                  </a:r>
                  <a:endParaRPr lang="en-US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3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>None</a:t>
                  </a:r>
                  <a:endParaRPr lang="en-US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4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>None</a:t>
                  </a:r>
                  <a:endParaRPr lang="en-US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5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>None</a:t>
                  </a:r>
                  <a:endParaRPr lang="en-US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1"/>
          </dLbls>
          <cat>
            <strRef>
              <f>Dashboard!$U$4:$U$9</f>
              <strCache>
                <ptCount val="6"/>
                <pt idx="0">
                  <v>Winner</v>
                </pt>
                <pt idx="1">
                  <v>Finalist</v>
                </pt>
                <pt idx="2">
                  <v>Shortlisted</v>
                </pt>
                <pt idx="3">
                  <v>Under Review</v>
                </pt>
                <pt idx="4">
                  <v>Registered</v>
                </pt>
                <pt idx="5">
                  <v>Rejected</v>
                </pt>
              </strCache>
            </strRef>
          </cat>
          <val>
            <numRef>
              <f>Dashboard!$V$4:$V$9</f>
              <numCache>
                <formatCode>General</formatCode>
                <ptCount val="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24</row>
      <rowOff>0</rowOff>
    </from>
    <to>
      <col>6</col>
      <colOff>558720</colOff>
      <row>46</row>
      <rowOff>128520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9</col>
      <colOff>0</colOff>
      <row>24</row>
      <rowOff>0</rowOff>
    </from>
    <to>
      <col>14</col>
      <colOff>105840</colOff>
      <row>46</row>
      <rowOff>128520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07"/>
  <sheetViews>
    <sheetView showGridLines="1" workbookViewId="0">
      <selection activeCell="A1" sqref="A1"/>
    </sheetView>
  </sheetViews>
  <sheetFormatPr baseColWidth="8" defaultRowHeight="15"/>
  <cols>
    <col width="3" customWidth="1" style="22" min="1" max="1"/>
    <col width="18" customWidth="1" style="22" min="2" max="2"/>
    <col width="15" customWidth="1" style="22" min="3" max="3"/>
    <col width="15" customWidth="1" style="22" min="4" max="4"/>
    <col width="15" customWidth="1" style="22" min="5" max="5"/>
    <col width="15" customWidth="1" style="22" min="6" max="6"/>
    <col width="15" customWidth="1" style="22" min="7" max="7"/>
    <col width="25" customWidth="1" style="22" min="8" max="8"/>
    <col width="3" customWidth="1" style="22" min="9" max="9"/>
  </cols>
  <sheetData>
    <row r="1" ht="40" customHeight="1" s="22">
      <c r="B1" s="59" t="inlineStr">
        <is>
          <t>🏆  DIGILIANS PORTFOLIO — STARTUP PROJECT SHOWCASE</t>
        </is>
      </c>
    </row>
    <row r="2" ht="25" customHeight="1" s="22">
      <c r="B2" s="60" t="inlineStr">
        <is>
          <t>Official Startup Project Showcase &amp; Team Profiles  |  Pitch Documentation</t>
        </is>
      </c>
    </row>
    <row r="3" ht="15" customHeight="1" s="22"/>
    <row r="4" ht="30" customHeight="1" s="22">
      <c r="B4" s="61" t="inlineStr">
        <is>
          <t xml:space="preserve">  🚀 AEROMIND SENTINEL</t>
        </is>
      </c>
      <c r="C4" s="87" t="n"/>
      <c r="D4" s="87" t="n"/>
      <c r="E4" s="87" t="n"/>
      <c r="F4" s="87" t="n"/>
      <c r="G4" s="87" t="n"/>
      <c r="H4" s="88" t="n"/>
    </row>
    <row r="5" ht="20" customHeight="1" s="22">
      <c r="B5" s="63" t="inlineStr">
        <is>
          <t>Startup Name</t>
        </is>
      </c>
      <c r="C5" s="64" t="inlineStr">
        <is>
          <t>AeroMind Sentinel</t>
        </is>
      </c>
      <c r="D5" s="87" t="n"/>
      <c r="E5" s="87" t="n"/>
      <c r="F5" s="87" t="n"/>
      <c r="G5" s="87" t="n"/>
      <c r="H5" s="88" t="n"/>
    </row>
    <row r="6" ht="20" customHeight="1" s="22">
      <c r="B6" s="63" t="inlineStr">
        <is>
          <t>Project Status</t>
        </is>
      </c>
      <c r="C6" s="66" t="inlineStr">
        <is>
          <t>Finalist</t>
        </is>
      </c>
      <c r="D6" s="87" t="n"/>
      <c r="E6" s="87" t="n"/>
      <c r="F6" s="87" t="n"/>
      <c r="G6" s="87" t="n"/>
      <c r="H6" s="88" t="n"/>
    </row>
    <row r="7" ht="20" customHeight="1" s="22">
      <c r="B7" s="63" t="inlineStr">
        <is>
          <t>Hackathon / Competition</t>
        </is>
      </c>
      <c r="C7" s="68" t="inlineStr">
        <is>
          <t>Creativa Alexandria: AI Hackathon – AI for Egypt Real Problems</t>
        </is>
      </c>
      <c r="D7" s="87" t="n"/>
      <c r="E7" s="87" t="n"/>
      <c r="F7" s="87" t="n"/>
      <c r="G7" s="87" t="n"/>
      <c r="H7" s="88" t="n"/>
    </row>
    <row r="8" ht="20" customHeight="1" s="22">
      <c r="B8" s="63" t="inlineStr">
        <is>
          <t>Team Name</t>
        </is>
      </c>
      <c r="C8" s="68" t="inlineStr">
        <is>
          <t>AeroMind AI</t>
        </is>
      </c>
      <c r="D8" s="87" t="n"/>
      <c r="E8" s="87" t="n"/>
      <c r="F8" s="87" t="n"/>
      <c r="G8" s="87" t="n"/>
      <c r="H8" s="88" t="n"/>
    </row>
    <row r="9" ht="10" customHeight="1" s="22"/>
    <row r="10" ht="22" customHeight="1" s="22">
      <c r="B10" s="70" t="inlineStr">
        <is>
          <t>👥  TEAM MEMBERS &amp; ROLES</t>
        </is>
      </c>
      <c r="C10" s="87" t="n"/>
      <c r="D10" s="87" t="n"/>
      <c r="E10" s="87" t="n"/>
      <c r="F10" s="87" t="n"/>
      <c r="G10" s="87" t="n"/>
      <c r="H10" s="88" t="n"/>
    </row>
    <row r="11" ht="20" customHeight="1" s="22">
      <c r="B11" s="72" t="inlineStr">
        <is>
          <t>No.</t>
        </is>
      </c>
      <c r="C11" s="72" t="inlineStr">
        <is>
          <t>Name</t>
        </is>
      </c>
      <c r="D11" s="87" t="n"/>
      <c r="E11" s="88" t="n"/>
      <c r="F11" s="72" t="inlineStr">
        <is>
          <t>Role</t>
        </is>
      </c>
      <c r="G11" s="88" t="n"/>
      <c r="H11" s="72" t="inlineStr">
        <is>
          <t>Contact Email</t>
        </is>
      </c>
    </row>
    <row r="12" ht="20" customHeight="1" s="22">
      <c r="B12" s="74" t="n">
        <v>1</v>
      </c>
      <c r="C12" s="75" t="inlineStr">
        <is>
          <t>Mohamed Abd Elsalam Mohamed Gharieb</t>
        </is>
      </c>
      <c r="D12" s="87" t="n"/>
      <c r="E12" s="88" t="n"/>
      <c r="F12" s="75" t="inlineStr">
        <is>
          <t>Team Leader</t>
        </is>
      </c>
      <c r="G12" s="88" t="n"/>
      <c r="H12" s="75" t="inlineStr">
        <is>
          <t>moghariebai@gmail.com</t>
        </is>
      </c>
    </row>
    <row r="13" ht="20" customHeight="1" s="22">
      <c r="B13" s="77" t="n">
        <v>2</v>
      </c>
      <c r="C13" s="78" t="inlineStr">
        <is>
          <t>Aya Mostafa Ali Hassan</t>
        </is>
      </c>
      <c r="D13" s="87" t="n"/>
      <c r="E13" s="88" t="n"/>
      <c r="F13" s="78" t="inlineStr">
        <is>
          <t>AI Developer</t>
        </is>
      </c>
      <c r="G13" s="88" t="n"/>
      <c r="H13" s="78" t="inlineStr">
        <is>
          <t>aya.mostafa.hassan@gmail.com</t>
        </is>
      </c>
    </row>
    <row r="14" ht="20" customHeight="1" s="22">
      <c r="B14" s="74" t="n">
        <v>3</v>
      </c>
      <c r="C14" s="75" t="inlineStr">
        <is>
          <t>Aya Emad Ramadan Elsaby</t>
        </is>
      </c>
      <c r="D14" s="87" t="n"/>
      <c r="E14" s="88" t="n"/>
      <c r="F14" s="75" t="inlineStr">
        <is>
          <t>AI Developer</t>
        </is>
      </c>
      <c r="G14" s="88" t="n"/>
      <c r="H14" s="75" t="inlineStr">
        <is>
          <t>aya.emad.elsaby@gmail.com</t>
        </is>
      </c>
    </row>
    <row r="15" ht="20" customHeight="1" s="22">
      <c r="B15" s="77" t="n">
        <v>4</v>
      </c>
      <c r="C15" s="78" t="inlineStr">
        <is>
          <t>Eman Mansour Abdel Halim Barrin</t>
        </is>
      </c>
      <c r="D15" s="87" t="n"/>
      <c r="E15" s="88" t="n"/>
      <c r="F15" s="78" t="inlineStr">
        <is>
          <t>Signal Processing Specialist</t>
        </is>
      </c>
      <c r="G15" s="88" t="n"/>
      <c r="H15" s="78" t="inlineStr">
        <is>
          <t>eman.mansour.barrin@gmail.com</t>
        </is>
      </c>
    </row>
    <row r="16" ht="10" customHeight="1" s="22"/>
    <row r="17" ht="22" customHeight="1" s="22">
      <c r="B17" s="70" t="inlineStr">
        <is>
          <t>💡  PROJECT OVERVIEW</t>
        </is>
      </c>
      <c r="C17" s="87" t="n"/>
      <c r="D17" s="87" t="n"/>
      <c r="E17" s="87" t="n"/>
      <c r="F17" s="87" t="n"/>
      <c r="G17" s="87" t="n"/>
      <c r="H17" s="88" t="n"/>
    </row>
    <row r="18" ht="45" customHeight="1" s="22">
      <c r="B18" s="80" t="inlineStr">
        <is>
          <t>AeroMind Sentinel is an AI-powered autonomous drone intelligence system that transforms drones from traditional monitoring tools into intelligent agents capable of detecting incidents, analyzing risks, tracking targets, and generating real-time alerts using Computer Vision and AI technologies.</t>
        </is>
      </c>
      <c r="C18" s="87" t="n"/>
      <c r="D18" s="87" t="n"/>
      <c r="E18" s="87" t="n"/>
      <c r="F18" s="87" t="n"/>
      <c r="G18" s="87" t="n"/>
      <c r="H18" s="88" t="n"/>
    </row>
    <row r="19" ht="18" customHeight="1" s="22">
      <c r="B19" s="64" t="inlineStr">
        <is>
          <t>Core Features &amp; Pillars:</t>
        </is>
      </c>
      <c r="C19" s="87" t="n"/>
      <c r="D19" s="87" t="n"/>
      <c r="E19" s="87" t="n"/>
      <c r="F19" s="87" t="n"/>
      <c r="G19" s="87" t="n"/>
      <c r="H19" s="88" t="n"/>
    </row>
    <row r="20" ht="18" customHeight="1" s="22">
      <c r="B20" s="68" t="inlineStr">
        <is>
          <t xml:space="preserve">  • Artificial Intelligence &amp; Computer Vision for incident detection</t>
        </is>
      </c>
      <c r="C20" s="87" t="n"/>
      <c r="D20" s="87" t="n"/>
      <c r="E20" s="87" t="n"/>
      <c r="F20" s="87" t="n"/>
      <c r="G20" s="87" t="n"/>
      <c r="H20" s="88" t="n"/>
    </row>
    <row r="21" ht="18" customHeight="1" s="22">
      <c r="B21" s="68" t="inlineStr">
        <is>
          <t xml:space="preserve">  • Autonomous Guidance Systems for real-time monitoring</t>
        </is>
      </c>
      <c r="C21" s="87" t="n"/>
      <c r="D21" s="87" t="n"/>
      <c r="E21" s="87" t="n"/>
      <c r="F21" s="87" t="n"/>
      <c r="G21" s="87" t="n"/>
      <c r="H21" s="88" t="n"/>
    </row>
    <row r="22" ht="18" customHeight="1" s="22">
      <c r="B22" s="68" t="inlineStr">
        <is>
          <t xml:space="preserve">  • Multi-object Target Tracking &amp; dynamic route optimization</t>
        </is>
      </c>
      <c r="C22" s="87" t="n"/>
      <c r="D22" s="87" t="n"/>
      <c r="E22" s="87" t="n"/>
      <c r="F22" s="87" t="n"/>
      <c r="G22" s="87" t="n"/>
      <c r="H22" s="88" t="n"/>
    </row>
    <row r="23" ht="18" customHeight="1" s="22">
      <c r="B23" s="68" t="inlineStr">
        <is>
          <t xml:space="preserve">  • Instant safety response notifications and automated alerting systems</t>
        </is>
      </c>
      <c r="C23" s="87" t="n"/>
      <c r="D23" s="87" t="n"/>
      <c r="E23" s="87" t="n"/>
      <c r="F23" s="87" t="n"/>
      <c r="G23" s="87" t="n"/>
      <c r="H23" s="88" t="n"/>
    </row>
    <row r="24" ht="10" customHeight="1" s="22"/>
    <row r="25" ht="22" customHeight="1" s="22">
      <c r="B25" s="70" t="inlineStr">
        <is>
          <t>📊  BUSINESS Profile &amp; Market Model</t>
        </is>
      </c>
      <c r="C25" s="87" t="n"/>
      <c r="D25" s="87" t="n"/>
      <c r="E25" s="87" t="n"/>
      <c r="F25" s="87" t="n"/>
      <c r="G25" s="87" t="n"/>
      <c r="H25" s="88" t="n"/>
    </row>
    <row r="26" ht="20" customHeight="1" s="22">
      <c r="B26" s="82" t="inlineStr">
        <is>
          <t>Target Users</t>
        </is>
      </c>
      <c r="C26" s="80" t="inlineStr">
        <is>
          <t>Smart cities, traffic authorities, emergency response services, and public safety agencies.</t>
        </is>
      </c>
      <c r="D26" s="87" t="n"/>
      <c r="E26" s="87" t="n"/>
      <c r="F26" s="87" t="n"/>
      <c r="G26" s="87" t="n"/>
      <c r="H26" s="88" t="n"/>
    </row>
    <row r="27" ht="20" customHeight="1" s="22">
      <c r="B27" s="82" t="inlineStr">
        <is>
          <t>Paying Customers</t>
        </is>
      </c>
      <c r="C27" s="80" t="inlineStr">
        <is>
          <t>Government municipalities, private security firms, and highway administration authorities.</t>
        </is>
      </c>
      <c r="D27" s="87" t="n"/>
      <c r="E27" s="87" t="n"/>
      <c r="F27" s="87" t="n"/>
      <c r="G27" s="87" t="n"/>
      <c r="H27" s="88" t="n"/>
    </row>
    <row r="28" ht="40" customHeight="1" s="22">
      <c r="B28" s="82" t="inlineStr">
        <is>
          <t>Problem</t>
        </is>
      </c>
      <c r="C28" s="80" t="inlineStr">
        <is>
          <t>Traditional drone monitoring relies heavily on manual operator control and delayed video review, making it slow and error-prone in critical situations like accidents, security breaches, or infrastructure failures.</t>
        </is>
      </c>
      <c r="D28" s="87" t="n"/>
      <c r="E28" s="87" t="n"/>
      <c r="F28" s="87" t="n"/>
      <c r="G28" s="87" t="n"/>
      <c r="H28" s="88" t="n"/>
    </row>
    <row r="29" ht="40" customHeight="1" s="22">
      <c r="B29" s="82" t="inlineStr">
        <is>
          <t>Solution</t>
        </is>
      </c>
      <c r="C29" s="80" t="inlineStr">
        <is>
          <t>An autonomous, edge-computing AI system deployed on drones that automatically flags emergency events and maps coordinates to safety dispatch teams in real time without human review delays.</t>
        </is>
      </c>
      <c r="D29" s="87" t="n"/>
      <c r="E29" s="87" t="n"/>
      <c r="F29" s="87" t="n"/>
      <c r="G29" s="87" t="n"/>
      <c r="H29" s="88" t="n"/>
    </row>
    <row r="30" ht="20" customHeight="1" s="22">
      <c r="B30" s="82" t="inlineStr">
        <is>
          <t>Business Model</t>
        </is>
      </c>
      <c r="C30" s="80" t="inlineStr">
        <is>
          <t>B2B SaaS with hardware-integrated licensing for private operations and governmental projects.</t>
        </is>
      </c>
      <c r="D30" s="87" t="n"/>
      <c r="E30" s="87" t="n"/>
      <c r="F30" s="87" t="n"/>
      <c r="G30" s="87" t="n"/>
      <c r="H30" s="88" t="n"/>
    </row>
    <row r="31" ht="30" customHeight="1" s="22">
      <c r="B31" s="82" t="inlineStr">
        <is>
          <t>Revenue Streams</t>
        </is>
      </c>
      <c r="C31" s="80" t="inlineStr">
        <is>
          <t>Hardware subscription plans, custom software integration fees, and priority API access for governmental dashboards.</t>
        </is>
      </c>
      <c r="D31" s="87" t="n"/>
      <c r="E31" s="87" t="n"/>
      <c r="F31" s="87" t="n"/>
      <c r="G31" s="87" t="n"/>
      <c r="H31" s="88" t="n"/>
    </row>
    <row r="32" ht="10" customHeight="1" s="22"/>
    <row r="33" ht="22" customHeight="1" s="22">
      <c r="B33" s="70" t="inlineStr">
        <is>
          <t>⚙️  TECHNOLOGY &amp; AI ARCHITECTURE</t>
        </is>
      </c>
      <c r="C33" s="87" t="n"/>
      <c r="D33" s="87" t="n"/>
      <c r="E33" s="87" t="n"/>
      <c r="F33" s="87" t="n"/>
      <c r="G33" s="87" t="n"/>
      <c r="H33" s="88" t="n"/>
    </row>
    <row r="34" ht="20" customHeight="1" s="22">
      <c r="B34" s="82" t="inlineStr">
        <is>
          <t>AI Architecture</t>
        </is>
      </c>
      <c r="C34" s="80" t="inlineStr">
        <is>
          <t>Computer Vision and Edge AI pipeline for low-latency target classification.</t>
        </is>
      </c>
      <c r="D34" s="87" t="n"/>
      <c r="E34" s="87" t="n"/>
      <c r="F34" s="87" t="n"/>
      <c r="G34" s="87" t="n"/>
      <c r="H34" s="88" t="n"/>
    </row>
    <row r="35" ht="30" customHeight="1" s="22">
      <c r="B35" s="82" t="inlineStr">
        <is>
          <t>Core Models</t>
        </is>
      </c>
      <c r="C35" s="80" t="inlineStr">
        <is>
          <t>YOLOv8 custom models for object detection, DeepSORT for tracking, and onboard flight controllers.</t>
        </is>
      </c>
      <c r="D35" s="87" t="n"/>
      <c r="E35" s="87" t="n"/>
      <c r="F35" s="87" t="n"/>
      <c r="G35" s="87" t="n"/>
      <c r="H35" s="88" t="n"/>
    </row>
    <row r="36" ht="30" customHeight="1" s="22">
      <c r="B36" s="82" t="inlineStr">
        <is>
          <t>Core Tech Stack</t>
        </is>
      </c>
      <c r="C36" s="80" t="inlineStr">
        <is>
          <t>Python, FastAPI, C++, OpenCV, PyTorch, ROS (Robot Operating System), Docker, WebSockets.</t>
        </is>
      </c>
      <c r="D36" s="87" t="n"/>
      <c r="E36" s="87" t="n"/>
      <c r="F36" s="87" t="n"/>
      <c r="G36" s="87" t="n"/>
      <c r="H36" s="88" t="n"/>
    </row>
    <row r="37" ht="15" customHeight="1" s="22"/>
    <row r="38" ht="15" customHeight="1" s="22"/>
    <row r="39" ht="30" customHeight="1" s="22">
      <c r="B39" s="61" t="inlineStr">
        <is>
          <t xml:space="preserve">  🚀 BINGOO AI</t>
        </is>
      </c>
      <c r="C39" s="87" t="n"/>
      <c r="D39" s="87" t="n"/>
      <c r="E39" s="87" t="n"/>
      <c r="F39" s="87" t="n"/>
      <c r="G39" s="87" t="n"/>
      <c r="H39" s="88" t="n"/>
    </row>
    <row r="40" ht="20" customHeight="1" s="22">
      <c r="B40" s="63" t="inlineStr">
        <is>
          <t>Startup Name</t>
        </is>
      </c>
      <c r="C40" s="64" t="inlineStr">
        <is>
          <t>Bingoo AI</t>
        </is>
      </c>
      <c r="D40" s="87" t="n"/>
      <c r="E40" s="87" t="n"/>
      <c r="F40" s="87" t="n"/>
      <c r="G40" s="87" t="n"/>
      <c r="H40" s="88" t="n"/>
    </row>
    <row r="41" ht="20" customHeight="1" s="22">
      <c r="B41" s="63" t="inlineStr">
        <is>
          <t>Project Status</t>
        </is>
      </c>
      <c r="C41" s="66" t="inlineStr">
        <is>
          <t>Accepted / Approved for Hackathon Participation</t>
        </is>
      </c>
      <c r="D41" s="87" t="n"/>
      <c r="E41" s="87" t="n"/>
      <c r="F41" s="87" t="n"/>
      <c r="G41" s="87" t="n"/>
      <c r="H41" s="88" t="n"/>
    </row>
    <row r="42" ht="20" customHeight="1" s="22">
      <c r="B42" s="63" t="inlineStr">
        <is>
          <t>Hackathon / Competition</t>
        </is>
      </c>
      <c r="C42" s="68" t="inlineStr">
        <is>
          <t>Creativa Alexandria: AI Hackathon – AI for Egypt Real Problems</t>
        </is>
      </c>
      <c r="D42" s="87" t="n"/>
      <c r="E42" s="87" t="n"/>
      <c r="F42" s="87" t="n"/>
      <c r="G42" s="87" t="n"/>
      <c r="H42" s="88" t="n"/>
    </row>
    <row r="43" ht="20" customHeight="1" s="22">
      <c r="B43" s="63" t="inlineStr">
        <is>
          <t>Team Name</t>
        </is>
      </c>
      <c r="C43" s="68" t="inlineStr">
        <is>
          <t>Bingoo AI Team</t>
        </is>
      </c>
      <c r="D43" s="87" t="n"/>
      <c r="E43" s="87" t="n"/>
      <c r="F43" s="87" t="n"/>
      <c r="G43" s="87" t="n"/>
      <c r="H43" s="88" t="n"/>
    </row>
    <row r="44" ht="10" customHeight="1" s="22"/>
    <row r="45" ht="22" customHeight="1" s="22">
      <c r="B45" s="70" t="inlineStr">
        <is>
          <t>👥  TEAM MEMBERS &amp; ROLES</t>
        </is>
      </c>
      <c r="C45" s="87" t="n"/>
      <c r="D45" s="87" t="n"/>
      <c r="E45" s="87" t="n"/>
      <c r="F45" s="87" t="n"/>
      <c r="G45" s="87" t="n"/>
      <c r="H45" s="88" t="n"/>
    </row>
    <row r="46" ht="20" customHeight="1" s="22">
      <c r="B46" s="72" t="inlineStr">
        <is>
          <t>No.</t>
        </is>
      </c>
      <c r="C46" s="72" t="inlineStr">
        <is>
          <t>Name</t>
        </is>
      </c>
      <c r="D46" s="87" t="n"/>
      <c r="E46" s="88" t="n"/>
      <c r="F46" s="72" t="inlineStr">
        <is>
          <t>Role</t>
        </is>
      </c>
      <c r="G46" s="88" t="n"/>
      <c r="H46" s="72" t="inlineStr">
        <is>
          <t>Contact Email</t>
        </is>
      </c>
    </row>
    <row r="47" ht="20" customHeight="1" s="22">
      <c r="B47" s="74" t="n">
        <v>1</v>
      </c>
      <c r="C47" s="75" t="inlineStr">
        <is>
          <t>Mohamed Abd Elsalam Mohamed Gharieb</t>
        </is>
      </c>
      <c r="D47" s="87" t="n"/>
      <c r="E47" s="88" t="n"/>
      <c r="F47" s="75" t="inlineStr">
        <is>
          <t>Team Leader</t>
        </is>
      </c>
      <c r="G47" s="88" t="n"/>
      <c r="H47" s="75" t="inlineStr">
        <is>
          <t>moghariebai@gmail.com</t>
        </is>
      </c>
    </row>
    <row r="48" ht="20" customHeight="1" s="22">
      <c r="B48" s="77" t="n">
        <v>2</v>
      </c>
      <c r="C48" s="78" t="inlineStr">
        <is>
          <t>Aya Mostafa Ali Hassan</t>
        </is>
      </c>
      <c r="D48" s="87" t="n"/>
      <c r="E48" s="88" t="n"/>
      <c r="F48" s="78" t="inlineStr">
        <is>
          <t>AI Developer</t>
        </is>
      </c>
      <c r="G48" s="88" t="n"/>
      <c r="H48" s="78" t="inlineStr">
        <is>
          <t>aya.mostafa.hassan@gmail.com</t>
        </is>
      </c>
    </row>
    <row r="49" ht="20" customHeight="1" s="22">
      <c r="B49" s="74" t="n">
        <v>3</v>
      </c>
      <c r="C49" s="75" t="inlineStr">
        <is>
          <t>Aya Emad Ramadan Elsaby</t>
        </is>
      </c>
      <c r="D49" s="87" t="n"/>
      <c r="E49" s="88" t="n"/>
      <c r="F49" s="75" t="inlineStr">
        <is>
          <t>AI Developer</t>
        </is>
      </c>
      <c r="G49" s="88" t="n"/>
      <c r="H49" s="75" t="inlineStr">
        <is>
          <t>aya.emad.elsaby@gmail.com</t>
        </is>
      </c>
    </row>
    <row r="50" ht="20" customHeight="1" s="22">
      <c r="B50" s="77" t="n">
        <v>4</v>
      </c>
      <c r="C50" s="78" t="inlineStr">
        <is>
          <t>Eman Mansour Abdel Halim Barrin</t>
        </is>
      </c>
      <c r="D50" s="87" t="n"/>
      <c r="E50" s="88" t="n"/>
      <c r="F50" s="78" t="inlineStr">
        <is>
          <t>Signal Processing Specialist</t>
        </is>
      </c>
      <c r="G50" s="88" t="n"/>
      <c r="H50" s="78" t="inlineStr">
        <is>
          <t>eman.mansour.barrin@gmail.com</t>
        </is>
      </c>
    </row>
    <row r="51" ht="10" customHeight="1" s="22"/>
    <row r="52" ht="22" customHeight="1" s="22">
      <c r="B52" s="70" t="inlineStr">
        <is>
          <t>💡  PROJECT OVERVIEW</t>
        </is>
      </c>
      <c r="C52" s="87" t="n"/>
      <c r="D52" s="87" t="n"/>
      <c r="E52" s="87" t="n"/>
      <c r="F52" s="87" t="n"/>
      <c r="G52" s="87" t="n"/>
      <c r="H52" s="88" t="n"/>
    </row>
    <row r="53" ht="45" customHeight="1" s="22">
      <c r="B53" s="80" t="inlineStr">
        <is>
          <t>Bingoo AI is an AI-powered emotional companion for school students that helps detect emotional changes, provide personalized support, and identify early signs of stress using an Agentic AI Multi-Agent System.</t>
        </is>
      </c>
      <c r="C53" s="87" t="n"/>
      <c r="D53" s="87" t="n"/>
      <c r="E53" s="87" t="n"/>
      <c r="F53" s="87" t="n"/>
      <c r="G53" s="87" t="n"/>
      <c r="H53" s="88" t="n"/>
    </row>
    <row r="54" ht="18" customHeight="1" s="22">
      <c r="B54" s="64" t="inlineStr">
        <is>
          <t>Core Features &amp; Pillars:</t>
        </is>
      </c>
      <c r="C54" s="87" t="n"/>
      <c r="D54" s="87" t="n"/>
      <c r="E54" s="87" t="n"/>
      <c r="F54" s="87" t="n"/>
      <c r="G54" s="87" t="n"/>
      <c r="H54" s="88" t="n"/>
    </row>
    <row r="55" ht="18" customHeight="1" s="22">
      <c r="B55" s="68" t="inlineStr">
        <is>
          <t xml:space="preserve">  • AI Emotional Intelligence &amp; Natural Language Processing (NLP)</t>
        </is>
      </c>
      <c r="C55" s="87" t="n"/>
      <c r="D55" s="87" t="n"/>
      <c r="E55" s="87" t="n"/>
      <c r="F55" s="87" t="n"/>
      <c r="G55" s="87" t="n"/>
      <c r="H55" s="88" t="n"/>
    </row>
    <row r="56" ht="18" customHeight="1" s="22">
      <c r="B56" s="68" t="inlineStr">
        <is>
          <t xml:space="preserve">  • Behavioral Analysis &amp; Sentiment Monitoring</t>
        </is>
      </c>
      <c r="C56" s="87" t="n"/>
      <c r="D56" s="87" t="n"/>
      <c r="E56" s="87" t="n"/>
      <c r="F56" s="87" t="n"/>
      <c r="G56" s="87" t="n"/>
      <c r="H56" s="88" t="n"/>
    </row>
    <row r="57" ht="18" customHeight="1" s="22">
      <c r="B57" s="68" t="inlineStr">
        <is>
          <t xml:space="preserve">  • Personalized Student AI Support &amp; Interactive Reflection</t>
        </is>
      </c>
      <c r="C57" s="87" t="n"/>
      <c r="D57" s="87" t="n"/>
      <c r="E57" s="87" t="n"/>
      <c r="F57" s="87" t="n"/>
      <c r="G57" s="87" t="n"/>
      <c r="H57" s="88" t="n"/>
    </row>
    <row r="58" ht="18" customHeight="1" s="22">
      <c r="B58" s="68" t="inlineStr">
        <is>
          <t xml:space="preserve">  • Integrated Safety Detection System for early risk identification</t>
        </is>
      </c>
      <c r="C58" s="87" t="n"/>
      <c r="D58" s="87" t="n"/>
      <c r="E58" s="87" t="n"/>
      <c r="F58" s="87" t="n"/>
      <c r="G58" s="87" t="n"/>
      <c r="H58" s="88" t="n"/>
    </row>
    <row r="59" ht="10" customHeight="1" s="22"/>
    <row r="60" ht="22" customHeight="1" s="22">
      <c r="B60" s="70" t="inlineStr">
        <is>
          <t>📊  BUSINESS Profile &amp; Market Model</t>
        </is>
      </c>
      <c r="C60" s="87" t="n"/>
      <c r="D60" s="87" t="n"/>
      <c r="E60" s="87" t="n"/>
      <c r="F60" s="87" t="n"/>
      <c r="G60" s="87" t="n"/>
      <c r="H60" s="88" t="n"/>
    </row>
    <row r="61" ht="20" customHeight="1" s="22">
      <c r="B61" s="82" t="inlineStr">
        <is>
          <t>Target Users</t>
        </is>
      </c>
      <c r="C61" s="80" t="inlineStr">
        <is>
          <t>School students (12–18 years old) experiencing academic pressure and emotional challenges.</t>
        </is>
      </c>
      <c r="D61" s="87" t="n"/>
      <c r="E61" s="87" t="n"/>
      <c r="F61" s="87" t="n"/>
      <c r="G61" s="87" t="n"/>
      <c r="H61" s="88" t="n"/>
    </row>
    <row r="62" ht="30" customHeight="1" s="22">
      <c r="B62" s="82" t="inlineStr">
        <is>
          <t>Paying Customers</t>
        </is>
      </c>
      <c r="C62" s="80" t="inlineStr">
        <is>
          <t>Private schools, international schools, and educational institutions looking to support student well-being.</t>
        </is>
      </c>
      <c r="D62" s="87" t="n"/>
      <c r="E62" s="87" t="n"/>
      <c r="F62" s="87" t="n"/>
      <c r="G62" s="87" t="n"/>
      <c r="H62" s="88" t="n"/>
    </row>
    <row r="63" ht="45" customHeight="1" s="22">
      <c r="B63" s="82" t="inlineStr">
        <is>
          <t>Problem</t>
        </is>
      </c>
      <c r="C63" s="80" t="inlineStr">
        <is>
          <t>Students face increasing academic pressure, anxiety, and social challenges. Meanwhile, schools and parents lack intelligent, non-intrusive, and scalable tools to monitor student well-being and identify emotional problems early.</t>
        </is>
      </c>
      <c r="D63" s="87" t="n"/>
      <c r="E63" s="87" t="n"/>
      <c r="F63" s="87" t="n"/>
      <c r="G63" s="87" t="n"/>
      <c r="H63" s="88" t="n"/>
    </row>
    <row r="64" ht="45" customHeight="1" s="22">
      <c r="B64" s="82" t="inlineStr">
        <is>
          <t>Solution</t>
        </is>
      </c>
      <c r="C64" s="80" t="inlineStr">
        <is>
          <t>An AI companion that communicates naturally and supportively with students, detects emotional shifts through language and behavioral analysis, and provides safety-valved alerts to school counselors when risk is high.</t>
        </is>
      </c>
      <c r="D64" s="87" t="n"/>
      <c r="E64" s="87" t="n"/>
      <c r="F64" s="87" t="n"/>
      <c r="G64" s="87" t="n"/>
      <c r="H64" s="88" t="n"/>
    </row>
    <row r="65" ht="20" customHeight="1" s="22">
      <c r="B65" s="82" t="inlineStr">
        <is>
          <t>Business Model</t>
        </is>
      </c>
      <c r="C65" s="80" t="inlineStr">
        <is>
          <t>B2B SaaS (Software as a Service) selling direct-to-schools via student licenses.</t>
        </is>
      </c>
      <c r="D65" s="87" t="n"/>
      <c r="E65" s="87" t="n"/>
      <c r="F65" s="87" t="n"/>
      <c r="G65" s="87" t="n"/>
      <c r="H65" s="88" t="n"/>
    </row>
    <row r="66" ht="45" customHeight="1" s="22">
      <c r="B66" s="82" t="inlineStr">
        <is>
          <t>Revenue Streams</t>
        </is>
      </c>
      <c r="C66" s="80" t="inlineStr">
        <is>
          <t>• School annual licensing &amp; subscriptions
• Premium optional student features (mindfulness/reflection tools)
• Strategic educational partnerships</t>
        </is>
      </c>
      <c r="D66" s="87" t="n"/>
      <c r="E66" s="87" t="n"/>
      <c r="F66" s="87" t="n"/>
      <c r="G66" s="87" t="n"/>
      <c r="H66" s="88" t="n"/>
    </row>
    <row r="67" ht="10" customHeight="1" s="22"/>
    <row r="68" ht="22" customHeight="1" s="22">
      <c r="B68" s="70" t="inlineStr">
        <is>
          <t>⚙️  TECHNOLOGY &amp; AI ARCHITECTURE</t>
        </is>
      </c>
      <c r="C68" s="87" t="n"/>
      <c r="D68" s="87" t="n"/>
      <c r="E68" s="87" t="n"/>
      <c r="F68" s="87" t="n"/>
      <c r="G68" s="87" t="n"/>
      <c r="H68" s="88" t="n"/>
    </row>
    <row r="69" ht="20" customHeight="1" s="22">
      <c r="B69" s="82" t="inlineStr">
        <is>
          <t>AI Architecture</t>
        </is>
      </c>
      <c r="C69" s="80" t="inlineStr">
        <is>
          <t>Multi-Agent AI System coordinating individual functional agents.</t>
        </is>
      </c>
      <c r="D69" s="87" t="n"/>
      <c r="E69" s="87" t="n"/>
      <c r="F69" s="87" t="n"/>
      <c r="G69" s="87" t="n"/>
      <c r="H69" s="88" t="n"/>
    </row>
    <row r="70" ht="70" customHeight="1" s="22">
      <c r="B70" s="82" t="inlineStr">
        <is>
          <t>Core Agents</t>
        </is>
      </c>
      <c r="C70" s="80" t="inlineStr">
        <is>
          <t>• Emotion Detection Agent (identifies sentiment, tone &amp; emotional indicators)
• Conversation Agent (supportive natural dialogue companion)
• Behavior Analysis Agent (tracks trends &amp; detects deviations from baseline)
• Personal Growth Agent (offers feedback, coping tools, and activities)
• Safety Agent (detects critical warning flags and notifies human staff)</t>
        </is>
      </c>
      <c r="D70" s="87" t="n"/>
      <c r="E70" s="87" t="n"/>
      <c r="F70" s="87" t="n"/>
      <c r="G70" s="87" t="n"/>
      <c r="H70" s="88" t="n"/>
    </row>
    <row r="71" ht="35" customHeight="1" s="22">
      <c r="B71" s="82" t="inlineStr">
        <is>
          <t>Core Tech Stack</t>
        </is>
      </c>
      <c r="C71" s="80" t="inlineStr">
        <is>
          <t>Large Language Models (LLMs), NLP frameworks, Sentiment Analysis APIs, Machine Learning models, AI Memory System.</t>
        </is>
      </c>
      <c r="D71" s="87" t="n"/>
      <c r="E71" s="87" t="n"/>
      <c r="F71" s="87" t="n"/>
      <c r="G71" s="87" t="n"/>
      <c r="H71" s="88" t="n"/>
    </row>
    <row r="72" ht="15" customHeight="1" s="22"/>
    <row r="73" ht="15" customHeight="1" s="22"/>
    <row r="74" ht="30" customHeight="1" s="22">
      <c r="B74" s="61" t="inlineStr">
        <is>
          <t xml:space="preserve">  🚀 SADAR: SPECTRUM ANOMALY DETECTION</t>
        </is>
      </c>
      <c r="C74" s="87" t="n"/>
      <c r="D74" s="87" t="n"/>
      <c r="E74" s="87" t="n"/>
      <c r="F74" s="87" t="n"/>
      <c r="G74" s="87" t="n"/>
      <c r="H74" s="88" t="n"/>
    </row>
    <row r="75" ht="20" customHeight="1" s="22">
      <c r="B75" s="63" t="inlineStr">
        <is>
          <t>Startup Name</t>
        </is>
      </c>
      <c r="C75" s="64" t="inlineStr">
        <is>
          <t>SADAR: AI-Powered Spectrum Anomaly Detection for Anti-Drone Threats</t>
        </is>
      </c>
      <c r="D75" s="87" t="n"/>
      <c r="E75" s="87" t="n"/>
      <c r="F75" s="87" t="n"/>
      <c r="G75" s="87" t="n"/>
      <c r="H75" s="88" t="n"/>
    </row>
    <row r="76" ht="20" customHeight="1" s="22">
      <c r="B76" s="63" t="inlineStr">
        <is>
          <t>Project Status</t>
        </is>
      </c>
      <c r="C76" s="66" t="inlineStr">
        <is>
          <t>Shortlisted</t>
        </is>
      </c>
      <c r="D76" s="87" t="n"/>
      <c r="E76" s="87" t="n"/>
      <c r="F76" s="87" t="n"/>
      <c r="G76" s="87" t="n"/>
      <c r="H76" s="88" t="n"/>
    </row>
    <row r="77" ht="20" customHeight="1" s="22">
      <c r="B77" s="63" t="inlineStr">
        <is>
          <t>Hackathon / Competition</t>
        </is>
      </c>
      <c r="C77" s="68" t="inlineStr">
        <is>
          <t>ITC-EGYPT 2026 &amp; ITC-EGYPT 2026 Anti-Drone Challenge</t>
        </is>
      </c>
      <c r="D77" s="87" t="n"/>
      <c r="E77" s="87" t="n"/>
      <c r="F77" s="87" t="n"/>
      <c r="G77" s="87" t="n"/>
      <c r="H77" s="88" t="n"/>
    </row>
    <row r="78" ht="20" customHeight="1" s="22">
      <c r="B78" s="63" t="inlineStr">
        <is>
          <t>Team Name</t>
        </is>
      </c>
      <c r="C78" s="68" t="inlineStr">
        <is>
          <t>SADAR AI Team</t>
        </is>
      </c>
      <c r="D78" s="87" t="n"/>
      <c r="E78" s="87" t="n"/>
      <c r="F78" s="87" t="n"/>
      <c r="G78" s="87" t="n"/>
      <c r="H78" s="88" t="n"/>
    </row>
    <row r="79" ht="10" customHeight="1" s="22"/>
    <row r="80" ht="22" customHeight="1" s="22">
      <c r="B80" s="70" t="inlineStr">
        <is>
          <t>👥  TEAM MEMBERS &amp; ROLES</t>
        </is>
      </c>
      <c r="C80" s="87" t="n"/>
      <c r="D80" s="87" t="n"/>
      <c r="E80" s="87" t="n"/>
      <c r="F80" s="87" t="n"/>
      <c r="G80" s="87" t="n"/>
      <c r="H80" s="88" t="n"/>
    </row>
    <row r="81" ht="20" customHeight="1" s="22">
      <c r="B81" s="72" t="inlineStr">
        <is>
          <t>No.</t>
        </is>
      </c>
      <c r="C81" s="72" t="inlineStr">
        <is>
          <t>Name</t>
        </is>
      </c>
      <c r="D81" s="87" t="n"/>
      <c r="E81" s="88" t="n"/>
      <c r="F81" s="72" t="inlineStr">
        <is>
          <t>Role</t>
        </is>
      </c>
      <c r="G81" s="88" t="n"/>
      <c r="H81" s="72" t="inlineStr">
        <is>
          <t>Contact Email</t>
        </is>
      </c>
    </row>
    <row r="82" ht="20" customHeight="1" s="22">
      <c r="B82" s="74" t="n">
        <v>1</v>
      </c>
      <c r="C82" s="75" t="inlineStr">
        <is>
          <t>Mohamed Abd Elsalam Mohamed Gharieb</t>
        </is>
      </c>
      <c r="D82" s="87" t="n"/>
      <c r="E82" s="88" t="n"/>
      <c r="F82" s="75" t="inlineStr">
        <is>
          <t>Team Leader</t>
        </is>
      </c>
      <c r="G82" s="88" t="n"/>
      <c r="H82" s="75" t="inlineStr">
        <is>
          <t>moghariebai@gmail.com</t>
        </is>
      </c>
    </row>
    <row r="83" ht="20" customHeight="1" s="22">
      <c r="B83" s="77" t="n">
        <v>2</v>
      </c>
      <c r="C83" s="78" t="inlineStr">
        <is>
          <t>Goda Emad Goda Elsayed</t>
        </is>
      </c>
      <c r="D83" s="87" t="n"/>
      <c r="E83" s="88" t="n"/>
      <c r="F83" s="78" t="inlineStr">
        <is>
          <t>AI Developer</t>
        </is>
      </c>
      <c r="G83" s="88" t="n"/>
      <c r="H83" s="78" t="inlineStr">
        <is>
          <t>goda.emad.elsayed@gmail.com</t>
        </is>
      </c>
    </row>
    <row r="84" ht="20" customHeight="1" s="22">
      <c r="B84" s="74" t="n">
        <v>3</v>
      </c>
      <c r="C84" s="75" t="inlineStr">
        <is>
          <t>Aya Emad Ramadan Elsaby</t>
        </is>
      </c>
      <c r="D84" s="87" t="n"/>
      <c r="E84" s="88" t="n"/>
      <c r="F84" s="75" t="inlineStr">
        <is>
          <t>AI Developer</t>
        </is>
      </c>
      <c r="G84" s="88" t="n"/>
      <c r="H84" s="75" t="inlineStr">
        <is>
          <t>aya.emad.elsaby@gmail.com</t>
        </is>
      </c>
    </row>
    <row r="85" ht="20" customHeight="1" s="22">
      <c r="B85" s="77" t="n">
        <v>4</v>
      </c>
      <c r="C85" s="78" t="inlineStr">
        <is>
          <t>Eman Mansour Abdel Halim Barrin</t>
        </is>
      </c>
      <c r="D85" s="87" t="n"/>
      <c r="E85" s="88" t="n"/>
      <c r="F85" s="78" t="inlineStr">
        <is>
          <t>Signal Processing Specialist</t>
        </is>
      </c>
      <c r="G85" s="88" t="n"/>
      <c r="H85" s="78" t="inlineStr">
        <is>
          <t>eman.mansour.barrin@gmail.com</t>
        </is>
      </c>
    </row>
    <row r="86" ht="20" customHeight="1" s="22">
      <c r="B86" s="74" t="n">
        <v>5</v>
      </c>
      <c r="C86" s="75" t="inlineStr">
        <is>
          <t>Aya Ashraf Elias AbdelMaksoud</t>
        </is>
      </c>
      <c r="D86" s="87" t="n"/>
      <c r="E86" s="88" t="n"/>
      <c r="F86" s="75" t="inlineStr">
        <is>
          <t>UI/UX Designer</t>
        </is>
      </c>
      <c r="G86" s="88" t="n"/>
      <c r="H86" s="75" t="inlineStr">
        <is>
          <t>Ayaaeliass@gmail.com</t>
        </is>
      </c>
    </row>
    <row r="87" ht="10" customHeight="1" s="22"/>
    <row r="88" ht="22" customHeight="1" s="22">
      <c r="B88" s="70" t="inlineStr">
        <is>
          <t>💡  PROJECT OVERVIEW</t>
        </is>
      </c>
      <c r="C88" s="87" t="n"/>
      <c r="D88" s="87" t="n"/>
      <c r="E88" s="87" t="n"/>
      <c r="F88" s="87" t="n"/>
      <c r="G88" s="87" t="n"/>
      <c r="H88" s="88" t="n"/>
    </row>
    <row r="89" ht="45" customHeight="1" s="22">
      <c r="B89" s="80" t="inlineStr">
        <is>
          <t>SADAR is an AI-powered autonomous spectrum intelligence platform designed for anti-drone threat detection. The system analyzes RF spectrum signals, detects abnormal patterns, classifies potential drone activities, and provides real-time intelligence through an AI analytics dashboard.</t>
        </is>
      </c>
      <c r="C89" s="87" t="n"/>
      <c r="D89" s="87" t="n"/>
      <c r="E89" s="87" t="n"/>
      <c r="F89" s="87" t="n"/>
      <c r="G89" s="87" t="n"/>
      <c r="H89" s="88" t="n"/>
    </row>
    <row r="90" ht="18" customHeight="1" s="22">
      <c r="B90" s="64" t="inlineStr">
        <is>
          <t>Core Features &amp; Pillars:</t>
        </is>
      </c>
      <c r="C90" s="87" t="n"/>
      <c r="D90" s="87" t="n"/>
      <c r="E90" s="87" t="n"/>
      <c r="F90" s="87" t="n"/>
      <c r="G90" s="87" t="n"/>
      <c r="H90" s="88" t="n"/>
    </row>
    <row r="91" ht="18" customHeight="1" s="22">
      <c r="B91" s="68" t="inlineStr">
        <is>
          <t xml:space="preserve">  • RF Spectrum Signal Analysis &amp; Pattern Recognition</t>
        </is>
      </c>
      <c r="C91" s="87" t="n"/>
      <c r="D91" s="87" t="n"/>
      <c r="E91" s="87" t="n"/>
      <c r="F91" s="87" t="n"/>
      <c r="G91" s="87" t="n"/>
      <c r="H91" s="88" t="n"/>
    </row>
    <row r="92" ht="18" customHeight="1" s="22">
      <c r="B92" s="68" t="inlineStr">
        <is>
          <t xml:space="preserve">  • AI/ML Custom Classification Models for Drone Signatures</t>
        </is>
      </c>
      <c r="C92" s="87" t="n"/>
      <c r="D92" s="87" t="n"/>
      <c r="E92" s="87" t="n"/>
      <c r="F92" s="87" t="n"/>
      <c r="G92" s="87" t="n"/>
      <c r="H92" s="88" t="n"/>
    </row>
    <row r="93" ht="18" customHeight="1" s="22">
      <c r="B93" s="68" t="inlineStr">
        <is>
          <t xml:space="preserve">  • Real-time Threat Intelligence &amp; Automated Alerting</t>
        </is>
      </c>
      <c r="C93" s="87" t="n"/>
      <c r="D93" s="87" t="n"/>
      <c r="E93" s="87" t="n"/>
      <c r="F93" s="87" t="n"/>
      <c r="G93" s="87" t="n"/>
      <c r="H93" s="88" t="n"/>
    </row>
    <row r="94" ht="18" customHeight="1" s="22">
      <c r="B94" s="68" t="inlineStr">
        <is>
          <t xml:space="preserve">  • Interactive Signal Visualization &amp; Analytics Dashboard</t>
        </is>
      </c>
      <c r="C94" s="87" t="n"/>
      <c r="D94" s="87" t="n"/>
      <c r="E94" s="87" t="n"/>
      <c r="F94" s="87" t="n"/>
      <c r="G94" s="87" t="n"/>
      <c r="H94" s="88" t="n"/>
    </row>
    <row r="95" ht="10" customHeight="1" s="22"/>
    <row r="96" ht="22" customHeight="1" s="22">
      <c r="B96" s="70" t="inlineStr">
        <is>
          <t>📊  BUSINESS Profile &amp; Market Model</t>
        </is>
      </c>
      <c r="C96" s="87" t="n"/>
      <c r="D96" s="87" t="n"/>
      <c r="E96" s="87" t="n"/>
      <c r="F96" s="87" t="n"/>
      <c r="G96" s="87" t="n"/>
      <c r="H96" s="88" t="n"/>
    </row>
    <row r="97" ht="20" customHeight="1" s="22">
      <c r="B97" s="82" t="inlineStr">
        <is>
          <t>Target Users</t>
        </is>
      </c>
      <c r="C97" s="80" t="inlineStr">
        <is>
          <t>Smart cities, military and defense contractors, public safety agencies, airport security.</t>
        </is>
      </c>
      <c r="D97" s="87" t="n"/>
      <c r="E97" s="87" t="n"/>
      <c r="F97" s="87" t="n"/>
      <c r="G97" s="87" t="n"/>
      <c r="H97" s="88" t="n"/>
    </row>
    <row r="98" ht="20" customHeight="1" s="22">
      <c r="B98" s="82" t="inlineStr">
        <is>
          <t>Paying Customers</t>
        </is>
      </c>
      <c r="C98" s="80" t="inlineStr">
        <is>
          <t>Military defense entities, airport authorities, private security firms, and municipal governments.</t>
        </is>
      </c>
      <c r="D98" s="87" t="n"/>
      <c r="E98" s="87" t="n"/>
      <c r="F98" s="87" t="n"/>
      <c r="G98" s="87" t="n"/>
      <c r="H98" s="88" t="n"/>
    </row>
    <row r="99" ht="40" customHeight="1" s="22">
      <c r="B99" s="82" t="inlineStr">
        <is>
          <t>Problem</t>
        </is>
      </c>
      <c r="C99" s="80" t="inlineStr">
        <is>
          <t>The rising threat of unauthorized drones requires immediate, automated, and highly accurate detection. Conventional radar and visual methods fail in complex environments or are too costly.</t>
        </is>
      </c>
      <c r="D99" s="87" t="n"/>
      <c r="E99" s="87" t="n"/>
      <c r="F99" s="87" t="n"/>
      <c r="G99" s="87" t="n"/>
      <c r="H99" s="88" t="n"/>
    </row>
    <row r="100" ht="40" customHeight="1" s="22">
      <c r="B100" s="82" t="inlineStr">
        <is>
          <t>Solution</t>
        </is>
      </c>
      <c r="C100" s="80" t="inlineStr">
        <is>
          <t>SADAR utilizes AI models combined with RF spectrum signal analysis to detect anomalies, identify drone signatures, and report potential threats in real time.</t>
        </is>
      </c>
      <c r="D100" s="87" t="n"/>
      <c r="E100" s="87" t="n"/>
      <c r="F100" s="87" t="n"/>
      <c r="G100" s="87" t="n"/>
      <c r="H100" s="88" t="n"/>
    </row>
    <row r="101" ht="20" customHeight="1" s="22">
      <c r="B101" s="82" t="inlineStr">
        <is>
          <t>Business Model</t>
        </is>
      </c>
      <c r="C101" s="80" t="inlineStr">
        <is>
          <t>B2G / B2B SaaS and Enterprise Licensing.</t>
        </is>
      </c>
      <c r="D101" s="87" t="n"/>
      <c r="E101" s="87" t="n"/>
      <c r="F101" s="87" t="n"/>
      <c r="G101" s="87" t="n"/>
      <c r="H101" s="88" t="n"/>
    </row>
    <row r="102" ht="30" customHeight="1" s="22">
      <c r="B102" s="82" t="inlineStr">
        <is>
          <t>Revenue Streams</t>
        </is>
      </c>
      <c r="C102" s="80" t="inlineStr">
        <is>
          <t>Software licensing (annual/perpetual), system maintenance and signature updates, hardware integration support.</t>
        </is>
      </c>
      <c r="D102" s="87" t="n"/>
      <c r="E102" s="87" t="n"/>
      <c r="F102" s="87" t="n"/>
      <c r="G102" s="87" t="n"/>
      <c r="H102" s="88" t="n"/>
    </row>
    <row r="103" ht="10" customHeight="1" s="22"/>
    <row r="104" ht="22" customHeight="1" s="22">
      <c r="B104" s="70" t="inlineStr">
        <is>
          <t>⚙️  TECHNOLOGY &amp; AI ARCHITECTURE</t>
        </is>
      </c>
      <c r="C104" s="87" t="n"/>
      <c r="D104" s="87" t="n"/>
      <c r="E104" s="87" t="n"/>
      <c r="F104" s="87" t="n"/>
      <c r="G104" s="87" t="n"/>
      <c r="H104" s="88" t="n"/>
    </row>
    <row r="105" ht="20" customHeight="1" s="22">
      <c r="B105" s="82" t="inlineStr">
        <is>
          <t>AI Architecture</t>
        </is>
      </c>
      <c r="C105" s="80" t="inlineStr">
        <is>
          <t>Signal processing pipeline combined with custom AI classifier models.</t>
        </is>
      </c>
      <c r="D105" s="87" t="n"/>
      <c r="E105" s="87" t="n"/>
      <c r="F105" s="87" t="n"/>
      <c r="G105" s="87" t="n"/>
      <c r="H105" s="88" t="n"/>
    </row>
    <row r="106" ht="30" customHeight="1" s="22">
      <c r="B106" s="82" t="inlineStr">
        <is>
          <t>Core Features</t>
        </is>
      </c>
      <c r="C106" s="80" t="inlineStr">
        <is>
          <t>RF signature database matching, spectrum signal filtering, real-time threat alert notifications.</t>
        </is>
      </c>
      <c r="D106" s="87" t="n"/>
      <c r="E106" s="87" t="n"/>
      <c r="F106" s="87" t="n"/>
      <c r="G106" s="87" t="n"/>
      <c r="H106" s="88" t="n"/>
    </row>
    <row r="107" ht="30" customHeight="1" s="22">
      <c r="B107" s="82" t="inlineStr">
        <is>
          <t>Core Tech Stack</t>
        </is>
      </c>
      <c r="C107" s="80" t="inlineStr">
        <is>
          <t>Python, FastAPI, React, TypeScript, AI/ML Models, Signal Processing, Data Analytics, WebSockets, Docker, REST API.</t>
        </is>
      </c>
      <c r="D107" s="87" t="n"/>
      <c r="E107" s="87" t="n"/>
      <c r="F107" s="87" t="n"/>
      <c r="G107" s="87" t="n"/>
      <c r="H107" s="88" t="n"/>
    </row>
  </sheetData>
  <mergeCells count="106">
    <mergeCell ref="C99:H99"/>
    <mergeCell ref="B55:H55"/>
    <mergeCell ref="C75:H75"/>
    <mergeCell ref="B33:H33"/>
    <mergeCell ref="F84:G84"/>
    <mergeCell ref="B104:H104"/>
    <mergeCell ref="F15:G15"/>
    <mergeCell ref="F86:G86"/>
    <mergeCell ref="C61:H61"/>
    <mergeCell ref="B25:H25"/>
    <mergeCell ref="B90:H90"/>
    <mergeCell ref="B18:H18"/>
    <mergeCell ref="B58:H58"/>
    <mergeCell ref="B52:H52"/>
    <mergeCell ref="F81:G81"/>
    <mergeCell ref="C49:E49"/>
    <mergeCell ref="C78:H78"/>
    <mergeCell ref="B2:H2"/>
    <mergeCell ref="F13:G13"/>
    <mergeCell ref="B60:H60"/>
    <mergeCell ref="C107:H107"/>
    <mergeCell ref="B53:H53"/>
    <mergeCell ref="C26:H26"/>
    <mergeCell ref="C85:E85"/>
    <mergeCell ref="C63:H63"/>
    <mergeCell ref="C41:H41"/>
    <mergeCell ref="C84:E84"/>
    <mergeCell ref="C105:H105"/>
    <mergeCell ref="C43:H43"/>
    <mergeCell ref="B80:H80"/>
    <mergeCell ref="C12:E12"/>
    <mergeCell ref="C46:E46"/>
    <mergeCell ref="F83:G83"/>
    <mergeCell ref="B89:H89"/>
    <mergeCell ref="C36:H36"/>
    <mergeCell ref="C48:E48"/>
    <mergeCell ref="B54:H54"/>
    <mergeCell ref="F85:G85"/>
    <mergeCell ref="C81:E81"/>
    <mergeCell ref="F47:G47"/>
    <mergeCell ref="C13:E13"/>
    <mergeCell ref="C28:H28"/>
    <mergeCell ref="B56:H56"/>
    <mergeCell ref="B96:H96"/>
    <mergeCell ref="F46:G46"/>
    <mergeCell ref="C69:H69"/>
    <mergeCell ref="C15:E15"/>
    <mergeCell ref="C30:H30"/>
    <mergeCell ref="C6:H6"/>
    <mergeCell ref="C62:H62"/>
    <mergeCell ref="B17:H17"/>
    <mergeCell ref="F48:G48"/>
    <mergeCell ref="B57:H57"/>
    <mergeCell ref="B88:H88"/>
    <mergeCell ref="C98:H98"/>
    <mergeCell ref="B10:H10"/>
    <mergeCell ref="C64:H64"/>
    <mergeCell ref="B19:H19"/>
    <mergeCell ref="C50:E50"/>
    <mergeCell ref="B74:H74"/>
    <mergeCell ref="B68:H68"/>
    <mergeCell ref="C40:H40"/>
    <mergeCell ref="B92:H92"/>
    <mergeCell ref="B20:H20"/>
    <mergeCell ref="B45:H45"/>
    <mergeCell ref="C11:E11"/>
    <mergeCell ref="C71:H71"/>
    <mergeCell ref="B94:H94"/>
    <mergeCell ref="C27:H27"/>
    <mergeCell ref="B4:H4"/>
    <mergeCell ref="C76:H76"/>
    <mergeCell ref="C8:H8"/>
    <mergeCell ref="F50:G50"/>
    <mergeCell ref="C66:H66"/>
    <mergeCell ref="B21:H21"/>
    <mergeCell ref="C102:H102"/>
    <mergeCell ref="B39:H39"/>
    <mergeCell ref="C34:H34"/>
    <mergeCell ref="B23:H23"/>
    <mergeCell ref="C14:E14"/>
    <mergeCell ref="C5:H5"/>
    <mergeCell ref="F49:G49"/>
    <mergeCell ref="C97:H97"/>
    <mergeCell ref="F14:G14"/>
    <mergeCell ref="C29:H29"/>
    <mergeCell ref="C100:H100"/>
    <mergeCell ref="C65:H65"/>
    <mergeCell ref="F11:G11"/>
    <mergeCell ref="C31:H31"/>
    <mergeCell ref="F12:G12"/>
    <mergeCell ref="C70:H70"/>
    <mergeCell ref="B91:H91"/>
    <mergeCell ref="C106:H106"/>
    <mergeCell ref="C82:E82"/>
    <mergeCell ref="C7:H7"/>
    <mergeCell ref="B22:H22"/>
    <mergeCell ref="B93:H93"/>
    <mergeCell ref="C86:E86"/>
    <mergeCell ref="C101:H101"/>
    <mergeCell ref="C83:E83"/>
    <mergeCell ref="C77:H77"/>
    <mergeCell ref="C42:H42"/>
    <mergeCell ref="B1:H1"/>
    <mergeCell ref="F82:G82"/>
    <mergeCell ref="C35:H35"/>
    <mergeCell ref="C47:E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A3C8F"/>
    <outlinePr summaryBelow="1" summaryRight="1"/>
    <pageSetUpPr/>
  </sheetPr>
  <dimension ref="A1:AT8"/>
  <sheetViews>
    <sheetView showGridLines="0" tabSelected="1" zoomScaleNormal="100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A7" sqref="A7"/>
    </sheetView>
  </sheetViews>
  <sheetFormatPr baseColWidth="8" defaultColWidth="8.6328125" defaultRowHeight="14.5"/>
  <cols>
    <col width="12" customWidth="1" style="22" min="1" max="1"/>
    <col width="14" customWidth="1" style="22" min="2" max="4"/>
    <col width="12" customWidth="1" style="22" min="5" max="5"/>
    <col width="10" customWidth="1" style="22" min="6" max="6"/>
    <col width="22" customWidth="1" style="22" min="7" max="7"/>
    <col width="28" customWidth="1" style="22" min="8" max="8"/>
    <col width="16" customWidth="1" style="22" min="9" max="9"/>
    <col width="22" customWidth="1" style="22" min="10" max="10"/>
    <col width="24" customWidth="1" style="22" min="11" max="11"/>
    <col width="20" customWidth="1" style="22" min="12" max="12"/>
    <col width="32" customWidth="1" style="22" min="13" max="13"/>
    <col width="30" customWidth="1" style="22" min="14" max="14"/>
    <col width="18" customWidth="1" style="22" min="15" max="15"/>
    <col width="22" customWidth="1" style="22" min="16" max="16"/>
    <col width="16" customWidth="1" style="22" min="17" max="17"/>
    <col width="12" customWidth="1" style="22" min="18" max="18"/>
    <col width="16" customWidth="1" style="22" min="19" max="19"/>
    <col width="14" customWidth="1" style="22" min="20" max="21"/>
    <col width="18" customWidth="1" style="22" min="22" max="22"/>
    <col width="14" customWidth="1" style="22" min="23" max="24"/>
    <col width="24" customWidth="1" style="22" min="25" max="25"/>
    <col width="36" customWidth="1" style="22" min="26" max="26"/>
    <col width="28" customWidth="1" style="22" min="27" max="27"/>
    <col width="18" customWidth="1" style="22" min="28" max="28"/>
    <col width="12" customWidth="1" style="22" min="29" max="29"/>
    <col width="14" customWidth="1" style="22" min="30" max="30"/>
    <col width="22" customWidth="1" style="22" min="31" max="31"/>
    <col width="28" customWidth="1" style="22" min="32" max="32"/>
    <col width="16" customWidth="1" style="22" min="33" max="33"/>
    <col width="18" customWidth="1" style="22" min="34" max="34"/>
    <col width="14" customWidth="1" style="22" min="35" max="35"/>
    <col width="10" customWidth="1" style="22" min="36" max="36"/>
    <col width="14" customWidth="1" style="22" min="37" max="37"/>
    <col width="28" customWidth="1" style="22" min="38" max="43"/>
    <col width="30" customWidth="1" style="22" min="44" max="44"/>
    <col width="14" customWidth="1" style="22" min="45" max="45"/>
  </cols>
  <sheetData>
    <row r="1" ht="36" customHeight="1" s="22">
      <c r="A1" s="27" t="inlineStr">
        <is>
          <t>🏆  Digilians Achievement Portal — Competition Submissions</t>
        </is>
      </c>
    </row>
    <row r="2" ht="18" customHeight="1" s="22">
      <c r="A2" s="24" t="inlineStr">
        <is>
          <t>Master database for all student competition entries</t>
        </is>
      </c>
    </row>
    <row r="3" ht="19.5" customHeight="1" s="22">
      <c r="A3" s="32" t="inlineStr">
        <is>
          <t>📋 SUBMISSION INFO</t>
        </is>
      </c>
      <c r="G3" s="28" t="inlineStr">
        <is>
          <t>👤 STUDENT DETAILS</t>
        </is>
      </c>
      <c r="M3" s="33" t="inlineStr">
        <is>
          <t>🏅 COMPETITION INFO</t>
        </is>
      </c>
      <c r="U3" s="29" t="inlineStr">
        <is>
          <t>📅 TIMELINE</t>
        </is>
      </c>
      <c r="Y3" s="23" t="inlineStr">
        <is>
          <t>💡 PROJECT DETAILS</t>
        </is>
      </c>
      <c r="AD3" s="30" t="inlineStr">
        <is>
          <t>👥 TEAM INFO</t>
        </is>
      </c>
      <c r="AG3" s="25" t="inlineStr">
        <is>
          <t>👑 LEADER INFO</t>
        </is>
      </c>
      <c r="AK3" s="26" t="inlineStr">
        <is>
          <t>🎖 ACHIEVEMENTS</t>
        </is>
      </c>
      <c r="AO3" s="31" t="inlineStr">
        <is>
          <t>🔗 LINKS &amp; DOCS</t>
        </is>
      </c>
      <c r="AS3" s="21" t="inlineStr">
        <is>
          <t>📝 NOTES</t>
        </is>
      </c>
    </row>
    <row r="4" ht="23" customHeight="1" s="22">
      <c r="A4" s="1" t="inlineStr">
        <is>
          <t>Submission ID</t>
        </is>
      </c>
      <c r="B4" s="1" t="inlineStr">
        <is>
          <t>Submission Date</t>
        </is>
      </c>
      <c r="C4" s="1" t="inlineStr">
        <is>
          <t>Last Updated</t>
        </is>
      </c>
      <c r="D4" s="1" t="inlineStr">
        <is>
          <t>Created By</t>
        </is>
      </c>
      <c r="E4" s="1" t="inlineStr">
        <is>
          <t>Academic Year</t>
        </is>
      </c>
      <c r="F4" s="1" t="inlineStr">
        <is>
          <t>Batch</t>
        </is>
      </c>
      <c r="G4" s="1" t="inlineStr">
        <is>
          <t>Student Full Name</t>
        </is>
      </c>
      <c r="H4" s="1" t="inlineStr">
        <is>
          <t>Student Email</t>
        </is>
      </c>
      <c r="I4" s="1" t="inlineStr">
        <is>
          <t>Student Phone</t>
        </is>
      </c>
      <c r="J4" s="1" t="inlineStr">
        <is>
          <t>Digilians Track</t>
        </is>
      </c>
      <c r="K4" s="1" t="inlineStr">
        <is>
          <t>University</t>
        </is>
      </c>
      <c r="L4" s="1" t="inlineStr">
        <is>
          <t>Faculty</t>
        </is>
      </c>
      <c r="M4" s="1" t="inlineStr">
        <is>
          <t>Competition Name</t>
        </is>
      </c>
      <c r="N4" s="1" t="inlineStr">
        <is>
          <t>Competition Link</t>
        </is>
      </c>
      <c r="O4" s="1" t="inlineStr">
        <is>
          <t>Organizer</t>
        </is>
      </c>
      <c r="P4" s="1" t="inlineStr">
        <is>
          <t>Competition Category</t>
        </is>
      </c>
      <c r="Q4" s="1" t="inlineStr">
        <is>
          <t>Competition Country</t>
        </is>
      </c>
      <c r="R4" s="1" t="inlineStr">
        <is>
          <t>Competition Type</t>
        </is>
      </c>
      <c r="S4" s="1" t="inlineStr">
        <is>
          <t>Competition Level</t>
        </is>
      </c>
      <c r="T4" s="1" t="inlineStr">
        <is>
          <t>Prize Pool</t>
        </is>
      </c>
      <c r="U4" s="1" t="inlineStr">
        <is>
          <t>Registration Date</t>
        </is>
      </c>
      <c r="V4" s="1" t="inlineStr">
        <is>
          <t>Submission Deadline</t>
        </is>
      </c>
      <c r="W4" s="1" t="inlineStr">
        <is>
          <t>Deadline Status</t>
        </is>
      </c>
      <c r="X4" s="1" t="inlineStr">
        <is>
          <t>Days Remaining</t>
        </is>
      </c>
      <c r="Y4" s="1" t="inlineStr">
        <is>
          <t>Project Name</t>
        </is>
      </c>
      <c r="Z4" s="1" t="inlineStr">
        <is>
          <t>Project Description</t>
        </is>
      </c>
      <c r="AA4" s="1" t="inlineStr">
        <is>
          <t>Technology Stack</t>
        </is>
      </c>
      <c r="AB4" s="1" t="inlineStr">
        <is>
          <t>Team Name</t>
        </is>
      </c>
      <c r="AC4" s="1" t="inlineStr">
        <is>
          <t>Total Team Members</t>
        </is>
      </c>
      <c r="AD4" s="1" t="inlineStr">
        <is>
          <t>Is Team Leader?</t>
        </is>
      </c>
      <c r="AE4" s="1" t="inlineStr">
        <is>
          <t>Team Leader Name</t>
        </is>
      </c>
      <c r="AF4" s="1" t="inlineStr">
        <is>
          <t>Team Leader Email</t>
        </is>
      </c>
      <c r="AG4" s="1" t="inlineStr">
        <is>
          <t>Team Leader Phone</t>
        </is>
      </c>
      <c r="AH4" s="1" t="inlineStr">
        <is>
          <t>Current Status</t>
        </is>
      </c>
      <c r="AI4" s="1" t="inlineStr">
        <is>
          <t>Achievement</t>
        </is>
      </c>
      <c r="AJ4" s="1" t="inlineStr">
        <is>
          <t>Ranking</t>
        </is>
      </c>
      <c r="AK4" s="1" t="inlineStr">
        <is>
          <t>Prize Won</t>
        </is>
      </c>
      <c r="AL4" s="1" t="inlineStr">
        <is>
          <t>Certificate Link</t>
        </is>
      </c>
      <c r="AM4" s="1" t="inlineStr">
        <is>
          <t>Demo Link</t>
        </is>
      </c>
      <c r="AN4" s="1" t="inlineStr">
        <is>
          <t>GitHub Repository</t>
        </is>
      </c>
      <c r="AO4" s="1" t="inlineStr">
        <is>
          <t>LinkedIn Post</t>
        </is>
      </c>
      <c r="AP4" s="1" t="inlineStr">
        <is>
          <t>Presentation Link</t>
        </is>
      </c>
      <c r="AQ4" s="1" t="inlineStr">
        <is>
          <t>Drive Folder</t>
        </is>
      </c>
      <c r="AR4" s="1" t="inlineStr">
        <is>
          <t>Notes</t>
        </is>
      </c>
      <c r="AS4" s="1" t="inlineStr">
        <is>
          <t>Completion %</t>
        </is>
      </c>
    </row>
    <row r="5" ht="175" customHeight="1" s="22">
      <c r="A5" s="2">
        <f>IF(B5&lt;&gt;"","SUB-"&amp;TEXT(ROW()+6,"0000"),"")</f>
        <v/>
      </c>
      <c r="B5" s="3" t="inlineStr">
        <is>
          <t>2026-06-26</t>
        </is>
      </c>
      <c r="C5" s="3" t="inlineStr">
        <is>
          <t>2026-06-26 00:00:00</t>
        </is>
      </c>
      <c r="D5" s="2" t="inlineStr">
        <is>
          <t>Admin</t>
        </is>
      </c>
      <c r="E5" s="2" t="inlineStr">
        <is>
          <t>4th Year</t>
        </is>
      </c>
      <c r="F5" s="2" t="inlineStr">
        <is>
          <t>Batch 3</t>
        </is>
      </c>
      <c r="G5" s="2" t="inlineStr">
        <is>
          <t>Mohamed Abd Elsalam Mohamed Gharieb</t>
        </is>
      </c>
      <c r="H5" s="2" t="inlineStr">
        <is>
          <t>moghariebai@gmail.com</t>
        </is>
      </c>
      <c r="I5" s="2" t="inlineStr">
        <is>
          <t>+20 01022487565</t>
        </is>
      </c>
      <c r="J5" s="2" t="inlineStr">
        <is>
          <t>AI &amp; Machine Learning</t>
        </is>
      </c>
      <c r="K5" s="2" t="inlineStr">
        <is>
          <t>Alexandria University</t>
        </is>
      </c>
      <c r="L5" s="2" t="inlineStr">
        <is>
          <t>Faculty of Engineering</t>
        </is>
      </c>
      <c r="M5" s="2" t="inlineStr">
        <is>
          <t>ITC-EGYPT 2026</t>
        </is>
      </c>
      <c r="N5" s="2" t="inlineStr">
        <is>
          <t>https://itc-egypt.org</t>
        </is>
      </c>
      <c r="O5" s="2" t="inlineStr">
        <is>
          <t>ITC Egypt</t>
        </is>
      </c>
      <c r="P5" s="2" t="inlineStr">
        <is>
          <t>AI &amp; Machine Learning</t>
        </is>
      </c>
      <c r="Q5" s="2" t="inlineStr">
        <is>
          <t>Egypt</t>
        </is>
      </c>
      <c r="R5" s="2" t="inlineStr">
        <is>
          <t>Online</t>
        </is>
      </c>
      <c r="S5" s="2" t="inlineStr">
        <is>
          <t>National</t>
        </is>
      </c>
      <c r="T5" s="2" t="inlineStr">
        <is>
          <t>N/A</t>
        </is>
      </c>
      <c r="U5" s="3" t="inlineStr">
        <is>
          <t>2026-02-15</t>
        </is>
      </c>
      <c r="V5" s="3" t="inlineStr">
        <is>
          <t>2026-08-31</t>
        </is>
      </c>
      <c r="W5" s="2">
        <f>IF(V5="","N/A",IF(V5&lt;TODAY(),"⛔ Expired",IF(V5-TODAY()&lt;=7,"⚠️ Soon","✅ Open")))</f>
        <v/>
      </c>
      <c r="X5" s="4">
        <f>IF(V5="","",MAX(0,V5-TODAY()))</f>
        <v/>
      </c>
      <c r="Y5" s="2" t="inlineStr">
        <is>
          <t>SADAR: AI-Powered Spectrum Anomaly Detection for Anti-Drone Threats</t>
        </is>
      </c>
      <c r="Z5" s="2" t="inlineStr">
        <is>
          <t>SADAR is an AI-powered autonomous spectrum intelligence platform designed for anti-drone threat detection. The system analyzes RF spectrum signals, detects abnormal patterns, classifies potential drone activities, and provides real-time intelligence through an AI analytics dashboard.</t>
        </is>
      </c>
      <c r="AA5" s="2" t="inlineStr">
        <is>
          <t>Python, FastAPI, React, TypeScript, AI/ML Models, Signal Processing, Data Analytics, WebSockets, Docker, REST API</t>
        </is>
      </c>
      <c r="AB5" s="2" t="inlineStr">
        <is>
          <t>SADAR AI Team</t>
        </is>
      </c>
      <c r="AC5" s="2" t="n">
        <v>5</v>
      </c>
      <c r="AD5" s="2" t="inlineStr">
        <is>
          <t>Yes</t>
        </is>
      </c>
      <c r="AE5" s="2" t="inlineStr">
        <is>
          <t>Mohamed Abd Elsalam Mohamed Gharieb</t>
        </is>
      </c>
      <c r="AF5" s="2" t="inlineStr">
        <is>
          <t>moghariebai@gmail.com</t>
        </is>
      </c>
      <c r="AG5" s="2" t="inlineStr">
        <is>
          <t>+20 01022487565</t>
        </is>
      </c>
      <c r="AH5" s="2" t="inlineStr">
        <is>
          <t>Shortlisted</t>
        </is>
      </c>
      <c r="AI5" s="2" t="inlineStr">
        <is>
          <t>Passed First Stage Review and Advanced to Phase 2</t>
        </is>
      </c>
      <c r="AJ5" s="2" t="inlineStr">
        <is>
          <t>Phase 2 Participant</t>
        </is>
      </c>
      <c r="AK5" s="2" t="inlineStr">
        <is>
          <t>N/A</t>
        </is>
      </c>
      <c r="AL5" s="2" t="n"/>
      <c r="AM5" s="2" t="inlineStr">
        <is>
          <t>To be added after final presentation recording</t>
        </is>
      </c>
      <c r="AN5" s="2" t="inlineStr">
        <is>
          <t>https://github.com/GhariebML/SADAR</t>
        </is>
      </c>
      <c r="AO5" s="2" t="n"/>
      <c r="AP5" s="2" t="n"/>
      <c r="AQ5" s="2" t="n"/>
      <c r="AR5" s="2" t="inlineStr">
        <is>
          <t>SADAR successfully passed the first stage evaluation of ITC-EGYPT 2026 and advanced to Phase 2. The project is currently being prepared for final demonstration including system testing, UI/UX improvements, AI analytics validation, and professional video presentation. Team Leader Location: Montaza District, Alexandria, Egypt. Team Member Aya Ashraf Location: Ibn El Sayar Street, El Kabary, Alexandria, Egypt.</t>
        </is>
      </c>
      <c r="AS5" s="5">
        <f>COUNTA(G5:H5,M5,Y5,AH5)/5</f>
        <v/>
      </c>
      <c r="AT5" s="2" t="n"/>
    </row>
    <row r="6" ht="187.5" customHeight="1" s="22">
      <c r="A6" s="2">
        <f>IF(B6&lt;&gt;"","SUB-"&amp;TEXT(ROW()+6,"0000"),"")</f>
        <v/>
      </c>
      <c r="B6" s="3" t="inlineStr">
        <is>
          <t>2026-06-26</t>
        </is>
      </c>
      <c r="C6" s="3" t="inlineStr">
        <is>
          <t>2026-06-26 00:00:00</t>
        </is>
      </c>
      <c r="D6" s="2" t="inlineStr">
        <is>
          <t>Admin</t>
        </is>
      </c>
      <c r="E6" s="2" t="inlineStr">
        <is>
          <t>4th Year</t>
        </is>
      </c>
      <c r="F6" s="2" t="inlineStr">
        <is>
          <t>Batch 3</t>
        </is>
      </c>
      <c r="G6" s="2" t="inlineStr">
        <is>
          <t>Mohamed Abd Elsalam Mohamed Gharieb</t>
        </is>
      </c>
      <c r="H6" s="2" t="inlineStr">
        <is>
          <t>moghariebai@gmail.com</t>
        </is>
      </c>
      <c r="I6" s="2" t="inlineStr">
        <is>
          <t>+20 01022487565</t>
        </is>
      </c>
      <c r="J6" s="2" t="inlineStr">
        <is>
          <t>AI &amp; Machine Learning</t>
        </is>
      </c>
      <c r="K6" s="2" t="inlineStr">
        <is>
          <t>Alexandria University</t>
        </is>
      </c>
      <c r="L6" s="2" t="inlineStr">
        <is>
          <t>Faculty of Engineering</t>
        </is>
      </c>
      <c r="M6" s="2" t="inlineStr">
        <is>
          <t>ITC-EGYPT 2026 Anti-Drone Challenge</t>
        </is>
      </c>
      <c r="N6" s="2" t="inlineStr">
        <is>
          <t>https://itc-egypt.org</t>
        </is>
      </c>
      <c r="O6" s="2" t="inlineStr">
        <is>
          <t>ITC Egypt</t>
        </is>
      </c>
      <c r="P6" s="2" t="inlineStr">
        <is>
          <t>AI &amp; Machine Learning</t>
        </is>
      </c>
      <c r="Q6" s="2" t="inlineStr">
        <is>
          <t>Egypt</t>
        </is>
      </c>
      <c r="R6" s="2" t="inlineStr">
        <is>
          <t>Online</t>
        </is>
      </c>
      <c r="S6" s="2" t="inlineStr">
        <is>
          <t>National</t>
        </is>
      </c>
      <c r="T6" s="2" t="inlineStr">
        <is>
          <t>N/A</t>
        </is>
      </c>
      <c r="U6" s="3" t="inlineStr">
        <is>
          <t>2026-02-15</t>
        </is>
      </c>
      <c r="V6" s="3" t="inlineStr">
        <is>
          <t>2026-08-31</t>
        </is>
      </c>
      <c r="W6" s="2">
        <f>IF(V6="","N/A",IF(V6&lt;TODAY(),"⛔ Expired",IF(V6-TODAY()&lt;=7,"⚠️ Soon","✅ Open")))</f>
        <v/>
      </c>
      <c r="X6" s="4">
        <f>IF(V6="","",MAX(0,V6-TODAY()))</f>
        <v/>
      </c>
      <c r="Y6" s="2" t="inlineStr">
        <is>
          <t>SADAR: AI-Powered Spectrum Anomaly Detection for Anti-Drone Threats</t>
        </is>
      </c>
      <c r="Z6" s="2" t="inlineStr">
        <is>
          <t>SADAR is an AI-powered autonomous spectrum intelligence platform designed for anti-drone threat detection. The system analyzes RF spectrum signals, detects abnormal patterns, classifies potential drone activities, and provides real-time intelligence through an AI analytics dashboard.</t>
        </is>
      </c>
      <c r="AA6" s="2" t="inlineStr">
        <is>
          <t>Python, FastAPI, React, TypeScript, AI/ML Models, Signal Processing, Data Analytics, WebSockets, Docker, REST API</t>
        </is>
      </c>
      <c r="AB6" s="2" t="inlineStr">
        <is>
          <t>SADAR AI Team</t>
        </is>
      </c>
      <c r="AC6" s="2" t="n">
        <v>5</v>
      </c>
      <c r="AD6" s="2" t="inlineStr">
        <is>
          <t>Yes</t>
        </is>
      </c>
      <c r="AE6" s="2" t="inlineStr">
        <is>
          <t>Mohamed Abd Elsalam Mohamed Gharieb</t>
        </is>
      </c>
      <c r="AF6" s="2" t="inlineStr">
        <is>
          <t>moghariebai@gmail.com</t>
        </is>
      </c>
      <c r="AG6" s="2" t="inlineStr">
        <is>
          <t>+20 01022487565</t>
        </is>
      </c>
      <c r="AH6" s="2" t="inlineStr">
        <is>
          <t>Shortlisted</t>
        </is>
      </c>
      <c r="AI6" s="2" t="inlineStr">
        <is>
          <t>Passed First Stage Review and Advanced to Phase 2</t>
        </is>
      </c>
      <c r="AJ6" s="2" t="inlineStr">
        <is>
          <t>Phase 2 Participant</t>
        </is>
      </c>
      <c r="AK6" s="2" t="inlineStr">
        <is>
          <t>N/A</t>
        </is>
      </c>
      <c r="AL6" s="2" t="n"/>
      <c r="AM6" s="2" t="inlineStr">
        <is>
          <t>To be added after final presentation recording</t>
        </is>
      </c>
      <c r="AN6" s="2" t="inlineStr">
        <is>
          <t>https://github.com/GhariebML/SADAR</t>
        </is>
      </c>
      <c r="AO6" s="2" t="n"/>
      <c r="AP6" s="2" t="n"/>
      <c r="AQ6" s="2" t="n"/>
      <c r="AR6" s="2" t="inlineStr">
        <is>
          <t>SADAR successfully passed the first stage evaluation of ITC-EGYPT 2026 Anti-Drone Challenge and advanced to Phase 2. The project is currently being prepared for final demonstration including system testing, UI/UX improvements, AI analytics validation, and professional video presentation. Team Leader Location: Montaza District, Alexandria, Egypt. Team Member Aya Ashraf Location: Ibn El Sayar Street, El Kabary, Alexandria, Egypt.</t>
        </is>
      </c>
      <c r="AS6" s="5">
        <f>COUNTA(G6:H6,M6,Y6,AH6)/5</f>
        <v/>
      </c>
      <c r="AT6" s="2" t="n"/>
    </row>
    <row r="7" ht="225" customHeight="1" s="22">
      <c r="A7" s="2">
        <f>IF(B7&lt;&gt;"","SUB-"&amp;TEXT(ROW()+6,"0000"),"")</f>
        <v/>
      </c>
      <c r="B7" s="3" t="inlineStr">
        <is>
          <t>2026-06-26</t>
        </is>
      </c>
      <c r="C7" s="3" t="inlineStr">
        <is>
          <t>2026-06-26 00:00:00</t>
        </is>
      </c>
      <c r="D7" s="2" t="inlineStr">
        <is>
          <t>Admin</t>
        </is>
      </c>
      <c r="E7" s="2" t="inlineStr">
        <is>
          <t>4th Year</t>
        </is>
      </c>
      <c r="F7" s="2" t="inlineStr">
        <is>
          <t>Batch 3</t>
        </is>
      </c>
      <c r="G7" s="2" t="inlineStr">
        <is>
          <t>Mohamed Abd Elsalam Mohamed Gharieb</t>
        </is>
      </c>
      <c r="H7" s="2" t="inlineStr">
        <is>
          <t>moghariebai@gmail.com</t>
        </is>
      </c>
      <c r="I7" s="2" t="inlineStr">
        <is>
          <t>+20 01022487565</t>
        </is>
      </c>
      <c r="J7" s="2" t="inlineStr">
        <is>
          <t>AI &amp; Machine Learning</t>
        </is>
      </c>
      <c r="K7" s="2" t="inlineStr">
        <is>
          <t>Alexandria University</t>
        </is>
      </c>
      <c r="L7" s="2" t="inlineStr">
        <is>
          <t>Faculty of Engineering</t>
        </is>
      </c>
      <c r="M7" s="2" t="inlineStr">
        <is>
          <t>Creativa Alexandria: AI Hackathon – AI for Egypt Real Problems</t>
        </is>
      </c>
      <c r="N7" s="2" t="inlineStr">
        <is>
          <t>https://creativa.gov.eg</t>
        </is>
      </c>
      <c r="O7" s="2" t="inlineStr">
        <is>
          <t>Creativa Alexandria</t>
        </is>
      </c>
      <c r="P7" s="2" t="inlineStr">
        <is>
          <t>AI &amp; Machine Learning</t>
        </is>
      </c>
      <c r="Q7" s="2" t="inlineStr">
        <is>
          <t>Egypt</t>
        </is>
      </c>
      <c r="R7" s="2" t="inlineStr">
        <is>
          <t>Offline</t>
        </is>
      </c>
      <c r="S7" s="2" t="inlineStr">
        <is>
          <t>National</t>
        </is>
      </c>
      <c r="T7" s="2" t="inlineStr">
        <is>
          <t>N/A</t>
        </is>
      </c>
      <c r="U7" s="3" t="inlineStr">
        <is>
          <t>2026-05-01</t>
        </is>
      </c>
      <c r="V7" s="3" t="inlineStr">
        <is>
          <t>2026-06-20</t>
        </is>
      </c>
      <c r="W7" s="2">
        <f>IF(V7="","N/A",IF(V7&lt;TODAY(),"⛔ Expired",IF(V7-TODAY()&lt;=7,"⚠️ Soon","✅ Open")))</f>
        <v/>
      </c>
      <c r="X7" s="4">
        <f>IF(V7="","",MAX(0,V7-TODAY()))</f>
        <v/>
      </c>
      <c r="Y7" s="2" t="inlineStr">
        <is>
          <t>AeroMind Sentinel</t>
        </is>
      </c>
      <c r="Z7" s="2" t="inlineStr">
        <is>
          <t>AeroMind Sentinel is an AI-powered autonomous drone intelligence system that transforms drones from traditional monitoring tools into intelligent agents capable of detecting incidents, analyzing risks, tracking targets, and generating real-time alerts using Computer Vision and AI technologies.</t>
        </is>
      </c>
      <c r="AA7" s="2" t="inlineStr">
        <is>
          <t>Artificial Intelligence, Computer Vision, Autonomous Drone Systems, Object Detection, Multi-object Tracking, Real-time Monitoring, AI Decision Making</t>
        </is>
      </c>
      <c r="AB7" s="2" t="inlineStr">
        <is>
          <t>AeroMind AI</t>
        </is>
      </c>
      <c r="AC7" s="2" t="n">
        <v>4</v>
      </c>
      <c r="AD7" s="2" t="inlineStr">
        <is>
          <t>Yes</t>
        </is>
      </c>
      <c r="AE7" s="2" t="inlineStr">
        <is>
          <t>Mohamed Abd Elsalam Mohamed Gharieb</t>
        </is>
      </c>
      <c r="AF7" s="2" t="inlineStr">
        <is>
          <t>moghariebai@gmail.com</t>
        </is>
      </c>
      <c r="AG7" s="2" t="inlineStr">
        <is>
          <t>+20 01022487565</t>
        </is>
      </c>
      <c r="AH7" s="2" t="inlineStr">
        <is>
          <t>Finalist</t>
        </is>
      </c>
      <c r="AI7" s="2" t="inlineStr">
        <is>
          <t>Developed MVP prototype for road safety and smart infrastructure</t>
        </is>
      </c>
      <c r="AJ7" s="2" t="inlineStr">
        <is>
          <t>Finalist</t>
        </is>
      </c>
      <c r="AK7" s="2" t="inlineStr">
        <is>
          <t>N/A</t>
        </is>
      </c>
      <c r="AL7" s="2" t="n"/>
      <c r="AM7" s="2" t="n"/>
      <c r="AN7" s="2" t="n"/>
      <c r="AO7" s="2" t="n"/>
      <c r="AP7" s="2" t="n"/>
      <c r="AQ7" s="2" t="n"/>
      <c r="AR7" s="2" t="inlineStr">
        <is>
          <t>AeroMind Sentinel is an AI-powered autonomous drone intelligence system. Validation: road safety and infrastructure challenges validated through research/market analysis; tested solution concept with experts; developed MVP prototype demonstrating AI detection, tracking, monitoring, and alerts. Impact: improving road safety, faster response, smart infrastructure monitoring, supporting AI-driven sustainable cities. Team Members: Mohamed Abd Elsalam Mohamed Gharieb, Aya Mostafa Ali Hassan, Aya Emad Ramadan Elsaby, Eman Mansour Abdel Halim Barrin.</t>
        </is>
      </c>
      <c r="AS7" s="5">
        <f>COUNTA(G7:H7,M7,Y7,AH7)/5</f>
        <v/>
      </c>
      <c r="AT7" s="2" t="n"/>
    </row>
    <row r="8" ht="18" customHeight="1" s="22">
      <c r="A8" s="83">
        <f>IF(B8&lt;&gt;"","SUB-"&amp;TEXT(ROW()+6,"0000"),"")</f>
        <v/>
      </c>
      <c r="B8" s="84" t="inlineStr">
        <is>
          <t>2026-06-26</t>
        </is>
      </c>
      <c r="C8" s="84" t="inlineStr">
        <is>
          <t>2026-06-26 00:00:00</t>
        </is>
      </c>
      <c r="D8" s="83" t="inlineStr">
        <is>
          <t>Admin</t>
        </is>
      </c>
      <c r="E8" s="83" t="inlineStr">
        <is>
          <t>4th Year</t>
        </is>
      </c>
      <c r="F8" s="83" t="inlineStr">
        <is>
          <t>Batch 3</t>
        </is>
      </c>
      <c r="G8" s="83" t="inlineStr">
        <is>
          <t>Mohamed Abd Elsalam Mohamed Gharieb</t>
        </is>
      </c>
      <c r="H8" s="83" t="inlineStr">
        <is>
          <t>moghariebai@gmail.com</t>
        </is>
      </c>
      <c r="I8" s="83" t="inlineStr">
        <is>
          <t>+20 01022487565</t>
        </is>
      </c>
      <c r="J8" s="83" t="inlineStr">
        <is>
          <t>AI &amp; Machine Learning</t>
        </is>
      </c>
      <c r="K8" s="83" t="inlineStr">
        <is>
          <t>Alexandria University</t>
        </is>
      </c>
      <c r="L8" s="83" t="inlineStr">
        <is>
          <t>Faculty of Engineering</t>
        </is>
      </c>
      <c r="M8" s="83" t="inlineStr">
        <is>
          <t>Creativa Alexandria: AI Hackathon – AI for Egypt Real Problems</t>
        </is>
      </c>
      <c r="N8" s="83" t="inlineStr">
        <is>
          <t>https://creativa.gov.eg</t>
        </is>
      </c>
      <c r="O8" s="83" t="inlineStr">
        <is>
          <t>Creativa Alexandria</t>
        </is>
      </c>
      <c r="P8" s="83" t="inlineStr">
        <is>
          <t>AI &amp; Machine Learning</t>
        </is>
      </c>
      <c r="Q8" s="83" t="inlineStr">
        <is>
          <t>Egypt</t>
        </is>
      </c>
      <c r="R8" s="83" t="inlineStr">
        <is>
          <t>Offline</t>
        </is>
      </c>
      <c r="S8" s="83" t="inlineStr">
        <is>
          <t>National</t>
        </is>
      </c>
      <c r="T8" s="83" t="inlineStr">
        <is>
          <t>N/A</t>
        </is>
      </c>
      <c r="U8" s="84" t="inlineStr">
        <is>
          <t>2026-05-01</t>
        </is>
      </c>
      <c r="V8" s="84" t="inlineStr">
        <is>
          <t>2026-06-20</t>
        </is>
      </c>
      <c r="W8" s="83">
        <f>IF(V8="","N/A",IF(V8&lt;TODAY(),"⛔ Expired",IF(V8-TODAY()&lt;=7,"⚠️ Soon","✅ Open")))</f>
        <v/>
      </c>
      <c r="X8" s="85">
        <f>IF(V8="","",MAX(0,V8-TODAY()))</f>
        <v/>
      </c>
      <c r="Y8" s="83" t="inlineStr">
        <is>
          <t>Bingoo AI</t>
        </is>
      </c>
      <c r="Z8" s="83" t="inlineStr">
        <is>
          <t>Bingoo AI is an AI-powered emotional companion for school students that helps detect emotional changes, provide personalized support, and identify early signs of stress using an Agentic AI Multi-Agent System.</t>
        </is>
      </c>
      <c r="AA8" s="83" t="inlineStr">
        <is>
          <t>Large Language Models, NLP, Sentiment Analysis, Machine Learning, AI Memory System, Multi-Agent AI System</t>
        </is>
      </c>
      <c r="AB8" s="83" t="inlineStr">
        <is>
          <t>Bingoo AI Team</t>
        </is>
      </c>
      <c r="AC8" s="83" t="n">
        <v>4</v>
      </c>
      <c r="AD8" s="83" t="inlineStr">
        <is>
          <t>Yes</t>
        </is>
      </c>
      <c r="AE8" s="83" t="inlineStr">
        <is>
          <t>Mohamed Abd Elsalam Mohamed Gharieb</t>
        </is>
      </c>
      <c r="AF8" s="83" t="inlineStr">
        <is>
          <t>moghariebai@gmail.com</t>
        </is>
      </c>
      <c r="AG8" s="83" t="inlineStr">
        <is>
          <t>+20 01022487565</t>
        </is>
      </c>
      <c r="AH8" s="83" t="inlineStr">
        <is>
          <t>Accepted</t>
        </is>
      </c>
      <c r="AI8" s="83" t="inlineStr">
        <is>
          <t>Accepted / Approved for Hackathon Participation</t>
        </is>
      </c>
      <c r="AJ8" s="83" t="inlineStr">
        <is>
          <t>Participant</t>
        </is>
      </c>
      <c r="AK8" s="83" t="inlineStr">
        <is>
          <t>N/A</t>
        </is>
      </c>
      <c r="AL8" s="83" t="inlineStr">
        <is>
          <t>None</t>
        </is>
      </c>
      <c r="AM8" s="83" t="inlineStr">
        <is>
          <t>None</t>
        </is>
      </c>
      <c r="AN8" s="83" t="inlineStr">
        <is>
          <t>None</t>
        </is>
      </c>
      <c r="AO8" s="83" t="inlineStr">
        <is>
          <t>None</t>
        </is>
      </c>
      <c r="AP8" s="83" t="inlineStr">
        <is>
          <t>None</t>
        </is>
      </c>
      <c r="AQ8" s="83" t="inlineStr">
        <is>
          <t>None</t>
        </is>
      </c>
      <c r="AR8" s="83" t="inlineStr">
        <is>
          <t>Target Users: School students (12-18 years old). Paying Customers: Private schools, international schools, and educational institutions. Problem: Students face academic pressure, stress, and emotional challenges, while schools lack intelligent tools to understand students’ wellbeing and detect problems early. Solution: An AI companion that communicates naturally with students, understands their emotions, analyzes behavioral patterns, and provides personalized support before problems become serious. AI Architecture: Multi-Agent AI System (Emotion Detection Agent, Conversation Agent, Behavior Analysis Agent, Personal Growth Agent, Safety Agent). Business Model: B2B SaaS. Revenue: School subscriptions, premium student features, educational partnerships.</t>
        </is>
      </c>
      <c r="AS8" s="86">
        <f>COUNTA(G8:H8,M8,Y8,AH8)/5</f>
        <v/>
      </c>
      <c r="AT8" s="83" t="n"/>
    </row>
    <row r="9" ht="18" customHeight="1" s="22"/>
    <row r="10" ht="18" customHeight="1" s="22"/>
    <row r="11" ht="18" customHeight="1" s="22"/>
    <row r="12" ht="18" customHeight="1" s="22"/>
    <row r="13" ht="18" customHeight="1" s="22"/>
    <row r="14" ht="18" customHeight="1" s="22"/>
    <row r="15" ht="18" customHeight="1" s="22"/>
    <row r="16" ht="18" customHeight="1" s="22"/>
  </sheetData>
  <autoFilter ref="A4:AS4"/>
  <mergeCells count="12">
    <mergeCell ref="AS3:AT3"/>
    <mergeCell ref="A2:AR2"/>
    <mergeCell ref="Y3:AC3"/>
    <mergeCell ref="AG3:AJ3"/>
    <mergeCell ref="AK3:AN3"/>
    <mergeCell ref="A1:AR1"/>
    <mergeCell ref="G3:L3"/>
    <mergeCell ref="AD3:AF3"/>
    <mergeCell ref="AO3:AR3"/>
    <mergeCell ref="U3:X3"/>
    <mergeCell ref="A3:F3"/>
    <mergeCell ref="M3:T3"/>
  </mergeCells>
  <conditionalFormatting sqref="H5:H2000">
    <cfRule type="expression" priority="6" dxfId="13">
      <formula>H5=""</formula>
    </cfRule>
  </conditionalFormatting>
  <conditionalFormatting sqref="N5:N2000">
    <cfRule type="expression" priority="8" dxfId="14">
      <formula>N5=""</formula>
    </cfRule>
  </conditionalFormatting>
  <conditionalFormatting sqref="V5:V2000">
    <cfRule type="expression" priority="7" dxfId="13">
      <formula>AND(V5&lt;&gt;"",V5&lt;TODAY())</formula>
    </cfRule>
  </conditionalFormatting>
  <conditionalFormatting sqref="AH5:AH2000">
    <cfRule type="expression" priority="2" dxfId="2">
      <formula>AH5="Winner"</formula>
    </cfRule>
    <cfRule type="expression" priority="3" dxfId="6">
      <formula>AH5="Finalist"</formula>
    </cfRule>
    <cfRule type="expression" priority="4" dxfId="10">
      <formula>AH5="Rejected"</formula>
    </cfRule>
    <cfRule type="expression" priority="5" dxfId="9">
      <formula>AH5="Shortlisted"</formula>
    </cfRule>
  </conditionalFormatting>
  <dataValidations count="3">
    <dataValidation sqref="AH5:AH1014" showDropDown="0" showInputMessage="0" showErrorMessage="0" allowBlank="1" type="list">
      <formula1>"Registered,Team Formed,Idea Submitted,Proposal Submitted,MVP Completed,Under Review,Shortlisted,Top 100,Top 50,Top 20,Finalist,Winner,Rejected"</formula1>
      <formula2>0</formula2>
    </dataValidation>
    <dataValidation sqref="R5:R1014" showDropDown="0" showInputMessage="0" showErrorMessage="0" allowBlank="1" type="list">
      <formula1>"Online,Offline,Hybrid"</formula1>
      <formula2>0</formula2>
    </dataValidation>
    <dataValidation sqref="AD5:AD1014" showDropDown="0" showInputMessage="0" showErrorMessage="0" allowBlank="1" type="list">
      <formula1>"Yes,No"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00B4D8"/>
    <outlinePr summaryBelow="1" summaryRight="1"/>
    <pageSetUpPr/>
  </sheetPr>
  <dimension ref="A1:N22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G4" sqref="G4"/>
    </sheetView>
  </sheetViews>
  <sheetFormatPr baseColWidth="8" defaultColWidth="8.6328125" defaultRowHeight="14.5"/>
  <cols>
    <col width="12" customWidth="1" style="22" min="1" max="1"/>
    <col width="36" customWidth="1" style="22" min="2" max="2"/>
    <col width="22" customWidth="1" style="22" min="3" max="3"/>
    <col width="24" customWidth="1" style="22" min="4" max="4"/>
    <col width="28" customWidth="1" style="22" min="5" max="5"/>
    <col width="16" customWidth="1" style="22" min="6" max="6"/>
    <col width="24" customWidth="1" style="22" min="7" max="7"/>
    <col width="16" customWidth="1" style="22" min="8" max="8"/>
    <col width="30" customWidth="1" style="22" min="9" max="10"/>
    <col width="28" customWidth="1" style="22" min="11" max="11"/>
    <col width="12" customWidth="1" style="22" min="12" max="12"/>
  </cols>
  <sheetData>
    <row r="1" ht="36" customHeight="1" s="22">
      <c r="A1" s="27" t="inlineStr">
        <is>
          <t>👥  Team Members Directory</t>
        </is>
      </c>
    </row>
    <row r="2" ht="18" customHeight="1" s="22">
      <c r="A2" s="24" t="inlineStr">
        <is>
          <t>Track every team member across all competitions</t>
        </is>
      </c>
    </row>
    <row r="4" ht="24.75" customHeight="1" s="22">
      <c r="A4" s="6" t="inlineStr">
        <is>
          <t>Team ID</t>
        </is>
      </c>
      <c r="B4" s="7" t="inlineStr">
        <is>
          <t>Competition Name</t>
        </is>
      </c>
      <c r="C4" s="6" t="inlineStr">
        <is>
          <t>Team Name</t>
        </is>
      </c>
      <c r="D4" s="7" t="inlineStr">
        <is>
          <t>Member Name</t>
        </is>
      </c>
      <c r="E4" s="6" t="inlineStr">
        <is>
          <t>Email</t>
        </is>
      </c>
      <c r="F4" s="7" t="inlineStr">
        <is>
          <t>Phone</t>
        </is>
      </c>
      <c r="G4" s="6" t="inlineStr">
        <is>
          <t>Digilians Track</t>
        </is>
      </c>
      <c r="H4" s="7" t="inlineStr">
        <is>
          <t>Role</t>
        </is>
      </c>
      <c r="I4" s="6" t="inlineStr">
        <is>
          <t>GitHub</t>
        </is>
      </c>
      <c r="J4" s="7" t="inlineStr">
        <is>
          <t>LinkedIn</t>
        </is>
      </c>
      <c r="K4" s="6" t="inlineStr">
        <is>
          <t>Portfolio</t>
        </is>
      </c>
      <c r="L4" s="7" t="inlineStr">
        <is>
          <t>Is Active</t>
        </is>
      </c>
    </row>
    <row r="5" ht="18" customHeight="1" s="22">
      <c r="A5" s="2">
        <f>IF(C5&lt;&gt;"","TM-"&amp;TEXT(ROW()+6,"0000"),"")</f>
        <v/>
      </c>
      <c r="B5" s="2" t="inlineStr">
        <is>
          <t>ITC-EGYPT 2026</t>
        </is>
      </c>
      <c r="C5" s="2" t="inlineStr">
        <is>
          <t>SADAR AI Team</t>
        </is>
      </c>
      <c r="D5" s="2" t="inlineStr">
        <is>
          <t>Mohamed Abd Elsalam Mohamed Gharieb</t>
        </is>
      </c>
      <c r="E5" s="2" t="inlineStr">
        <is>
          <t>moghariebai@gmail.com</t>
        </is>
      </c>
      <c r="F5" s="2" t="inlineStr">
        <is>
          <t>+20 01022487565</t>
        </is>
      </c>
      <c r="G5" s="2" t="inlineStr">
        <is>
          <t>AI &amp; Machine Learning</t>
        </is>
      </c>
      <c r="H5" s="2" t="inlineStr">
        <is>
          <t>Leader</t>
        </is>
      </c>
      <c r="I5" s="2" t="inlineStr">
        <is>
          <t>https://github.com/GhariebML</t>
        </is>
      </c>
      <c r="J5" s="2" t="n"/>
      <c r="K5" s="2" t="n"/>
      <c r="L5" s="2" t="inlineStr">
        <is>
          <t>Yes</t>
        </is>
      </c>
      <c r="M5" s="2" t="n"/>
      <c r="N5" s="2" t="n"/>
    </row>
    <row r="6" ht="18" customHeight="1" s="22">
      <c r="A6" s="2">
        <f>IF(C6&lt;&gt;"","TM-"&amp;TEXT(ROW()+6,"0000"),"")</f>
        <v/>
      </c>
      <c r="B6" s="2" t="inlineStr">
        <is>
          <t>ITC-EGYPT 2026 Anti-Drone Challenge</t>
        </is>
      </c>
      <c r="C6" s="2" t="inlineStr">
        <is>
          <t>SADAR AI Team</t>
        </is>
      </c>
      <c r="D6" s="2" t="inlineStr">
        <is>
          <t>Mohamed Abd Elsalam Mohamed Gharieb</t>
        </is>
      </c>
      <c r="E6" s="2" t="inlineStr">
        <is>
          <t>moghariebai@gmail.com</t>
        </is>
      </c>
      <c r="F6" s="2" t="inlineStr">
        <is>
          <t>+20 01022487565</t>
        </is>
      </c>
      <c r="G6" s="2" t="inlineStr">
        <is>
          <t>AI &amp; Machine Learning</t>
        </is>
      </c>
      <c r="H6" s="2" t="inlineStr">
        <is>
          <t>Leader</t>
        </is>
      </c>
      <c r="I6" s="2" t="inlineStr">
        <is>
          <t>https://github.com/GhariebML</t>
        </is>
      </c>
      <c r="J6" s="2" t="n"/>
      <c r="K6" s="2" t="n"/>
      <c r="L6" s="2" t="inlineStr">
        <is>
          <t>Yes</t>
        </is>
      </c>
      <c r="M6" s="2" t="n"/>
      <c r="N6" s="2" t="n"/>
    </row>
    <row r="7" ht="18" customHeight="1" s="22">
      <c r="A7" s="2">
        <f>IF(C7&lt;&gt;"","TM-"&amp;TEXT(ROW()+6,"0000"),"")</f>
        <v/>
      </c>
      <c r="B7" s="2" t="inlineStr">
        <is>
          <t>ITC-EGYPT 2026</t>
        </is>
      </c>
      <c r="C7" s="2" t="inlineStr">
        <is>
          <t>SADAR AI Team</t>
        </is>
      </c>
      <c r="D7" s="2" t="inlineStr">
        <is>
          <t>Goda Emad Goda Elsayed</t>
        </is>
      </c>
      <c r="E7" s="2" t="inlineStr">
        <is>
          <t>goda.emad.elsayed@gmail.com</t>
        </is>
      </c>
      <c r="F7" s="2" t="inlineStr">
        <is>
          <t>01126242932</t>
        </is>
      </c>
      <c r="G7" s="2" t="inlineStr">
        <is>
          <t>AI &amp; Machine Learning</t>
        </is>
      </c>
      <c r="H7" s="2" t="inlineStr">
        <is>
          <t>AI Developer</t>
        </is>
      </c>
      <c r="I7" s="2" t="inlineStr">
        <is>
          <t>https://github.com/godaemad</t>
        </is>
      </c>
      <c r="J7" s="2" t="n"/>
      <c r="K7" s="2" t="n"/>
      <c r="L7" s="2" t="inlineStr">
        <is>
          <t>Yes</t>
        </is>
      </c>
      <c r="M7" s="2" t="n"/>
      <c r="N7" s="2" t="n"/>
    </row>
    <row r="8" ht="18" customHeight="1" s="22">
      <c r="A8" s="2">
        <f>IF(C8&lt;&gt;"","TM-"&amp;TEXT(ROW()+6,"0000"),"")</f>
        <v/>
      </c>
      <c r="B8" s="2" t="inlineStr">
        <is>
          <t>ITC-EGYPT 2026 Anti-Drone Challenge</t>
        </is>
      </c>
      <c r="C8" s="2" t="inlineStr">
        <is>
          <t>SADAR AI Team</t>
        </is>
      </c>
      <c r="D8" s="2" t="inlineStr">
        <is>
          <t>Goda Emad Goda Elsayed</t>
        </is>
      </c>
      <c r="E8" s="2" t="inlineStr">
        <is>
          <t>goda.emad.elsayed@gmail.com</t>
        </is>
      </c>
      <c r="F8" s="2" t="inlineStr">
        <is>
          <t>01126242932</t>
        </is>
      </c>
      <c r="G8" s="2" t="inlineStr">
        <is>
          <t>AI &amp; Machine Learning</t>
        </is>
      </c>
      <c r="H8" s="2" t="inlineStr">
        <is>
          <t>AI Developer</t>
        </is>
      </c>
      <c r="I8" s="2" t="inlineStr">
        <is>
          <t>https://github.com/godaemad</t>
        </is>
      </c>
      <c r="J8" s="2" t="n"/>
      <c r="K8" s="2" t="n"/>
      <c r="L8" s="2" t="inlineStr">
        <is>
          <t>Yes</t>
        </is>
      </c>
      <c r="M8" s="2" t="n"/>
      <c r="N8" s="2" t="n"/>
    </row>
    <row r="9" ht="18" customHeight="1" s="22">
      <c r="A9" s="2">
        <f>IF(C9&lt;&gt;"","TM-"&amp;TEXT(ROW()+6,"0000"),"")</f>
        <v/>
      </c>
      <c r="B9" s="2" t="inlineStr">
        <is>
          <t>ITC-EGYPT 2026</t>
        </is>
      </c>
      <c r="C9" s="2" t="inlineStr">
        <is>
          <t>SADAR AI Team</t>
        </is>
      </c>
      <c r="D9" s="2" t="inlineStr">
        <is>
          <t>Aya Emad Ramadan Elsaby</t>
        </is>
      </c>
      <c r="E9" s="2" t="inlineStr">
        <is>
          <t>aya.emad.elsaby@gmail.com</t>
        </is>
      </c>
      <c r="F9" s="2" t="inlineStr">
        <is>
          <t>01121897160</t>
        </is>
      </c>
      <c r="G9" s="2" t="inlineStr">
        <is>
          <t>AI &amp; Machine Learning</t>
        </is>
      </c>
      <c r="H9" s="2" t="inlineStr">
        <is>
          <t>AI Developer</t>
        </is>
      </c>
      <c r="I9" s="2" t="inlineStr">
        <is>
          <t>https://github.com/ayaemad</t>
        </is>
      </c>
      <c r="J9" s="2" t="n"/>
      <c r="K9" s="2" t="n"/>
      <c r="L9" s="2" t="inlineStr">
        <is>
          <t>Yes</t>
        </is>
      </c>
      <c r="M9" s="2" t="n"/>
      <c r="N9" s="2" t="n"/>
    </row>
    <row r="10" ht="18" customHeight="1" s="22">
      <c r="A10" s="2">
        <f>IF(C10&lt;&gt;"","TM-"&amp;TEXT(ROW()+6,"0000"),"")</f>
        <v/>
      </c>
      <c r="B10" s="2" t="inlineStr">
        <is>
          <t>ITC-EGYPT 2026 Anti-Drone Challenge</t>
        </is>
      </c>
      <c r="C10" s="2" t="inlineStr">
        <is>
          <t>SADAR AI Team</t>
        </is>
      </c>
      <c r="D10" s="2" t="inlineStr">
        <is>
          <t>Aya Emad Ramadan Elsaby</t>
        </is>
      </c>
      <c r="E10" s="2" t="inlineStr">
        <is>
          <t>aya.emad.elsaby@gmail.com</t>
        </is>
      </c>
      <c r="F10" s="2" t="inlineStr">
        <is>
          <t>01121897160</t>
        </is>
      </c>
      <c r="G10" s="2" t="inlineStr">
        <is>
          <t>AI &amp; Machine Learning</t>
        </is>
      </c>
      <c r="H10" s="2" t="inlineStr">
        <is>
          <t>AI Developer</t>
        </is>
      </c>
      <c r="I10" s="2" t="inlineStr">
        <is>
          <t>https://github.com/ayaemad</t>
        </is>
      </c>
      <c r="J10" s="2" t="n"/>
      <c r="K10" s="2" t="n"/>
      <c r="L10" s="2" t="inlineStr">
        <is>
          <t>Yes</t>
        </is>
      </c>
      <c r="M10" s="2" t="n"/>
      <c r="N10" s="2" t="n"/>
    </row>
    <row r="11" ht="18" customHeight="1" s="22">
      <c r="A11" s="2">
        <f>IF(C11&lt;&gt;"","TM-"&amp;TEXT(ROW()+6,"0000"),"")</f>
        <v/>
      </c>
      <c r="B11" s="2" t="inlineStr">
        <is>
          <t>ITC-EGYPT 2026</t>
        </is>
      </c>
      <c r="C11" s="2" t="inlineStr">
        <is>
          <t>SADAR AI Team</t>
        </is>
      </c>
      <c r="D11" s="2" t="inlineStr">
        <is>
          <t>Eman Mansour Abdel Halim Barrin</t>
        </is>
      </c>
      <c r="E11" s="2" t="inlineStr">
        <is>
          <t>eman.mansour.barrin@gmail.com</t>
        </is>
      </c>
      <c r="F11" s="2" t="inlineStr">
        <is>
          <t>01068302915</t>
        </is>
      </c>
      <c r="G11" s="2" t="inlineStr">
        <is>
          <t>AI &amp; Machine Learning</t>
        </is>
      </c>
      <c r="H11" s="2" t="inlineStr">
        <is>
          <t>Signal Processing Specialist</t>
        </is>
      </c>
      <c r="I11" s="2" t="inlineStr">
        <is>
          <t>https://github.com/emanmansour</t>
        </is>
      </c>
      <c r="J11" s="2" t="n"/>
      <c r="K11" s="2" t="n"/>
      <c r="L11" s="2" t="inlineStr">
        <is>
          <t>Yes</t>
        </is>
      </c>
      <c r="M11" s="2" t="n"/>
      <c r="N11" s="2" t="n"/>
    </row>
    <row r="12" ht="18" customHeight="1" s="22">
      <c r="A12" s="2">
        <f>IF(C12&lt;&gt;"","TM-"&amp;TEXT(ROW()+6,"0000"),"")</f>
        <v/>
      </c>
      <c r="B12" s="2" t="inlineStr">
        <is>
          <t>ITC-EGYPT 2026 Anti-Drone Challenge</t>
        </is>
      </c>
      <c r="C12" s="2" t="inlineStr">
        <is>
          <t>SADAR AI Team</t>
        </is>
      </c>
      <c r="D12" s="2" t="inlineStr">
        <is>
          <t>Eman Mansour Abdel Halim Barrin</t>
        </is>
      </c>
      <c r="E12" s="2" t="inlineStr">
        <is>
          <t>eman.mansour.barrin@gmail.com</t>
        </is>
      </c>
      <c r="F12" s="2" t="inlineStr">
        <is>
          <t>01068302915</t>
        </is>
      </c>
      <c r="G12" s="2" t="inlineStr">
        <is>
          <t>AI &amp; Machine Learning</t>
        </is>
      </c>
      <c r="H12" s="2" t="inlineStr">
        <is>
          <t>Signal Processing Specialist</t>
        </is>
      </c>
      <c r="I12" s="2" t="inlineStr">
        <is>
          <t>https://github.com/emanmansour</t>
        </is>
      </c>
      <c r="J12" s="2" t="n"/>
      <c r="K12" s="2" t="n"/>
      <c r="L12" s="2" t="inlineStr">
        <is>
          <t>Yes</t>
        </is>
      </c>
      <c r="M12" s="2" t="n"/>
      <c r="N12" s="2" t="n"/>
    </row>
    <row r="13" ht="18" customHeight="1" s="22">
      <c r="A13" s="2">
        <f>IF(C13&lt;&gt;"","TM-"&amp;TEXT(ROW()+6,"0000"),"")</f>
        <v/>
      </c>
      <c r="B13" s="2" t="inlineStr">
        <is>
          <t>ITC-EGYPT 2026</t>
        </is>
      </c>
      <c r="C13" s="2" t="inlineStr">
        <is>
          <t>SADAR AI Team</t>
        </is>
      </c>
      <c r="D13" s="2" t="inlineStr">
        <is>
          <t>Aya Ashraf Elias AbdelMaksoud</t>
        </is>
      </c>
      <c r="E13" s="2" t="inlineStr">
        <is>
          <t>Ayaaeliass@gmail.com</t>
        </is>
      </c>
      <c r="F13" s="2" t="inlineStr">
        <is>
          <t>01277474411</t>
        </is>
      </c>
      <c r="G13" s="2" t="inlineStr">
        <is>
          <t>AI &amp; Machine Learning</t>
        </is>
      </c>
      <c r="H13" s="2" t="inlineStr">
        <is>
          <t>UI/UX Designer</t>
        </is>
      </c>
      <c r="I13" s="2" t="inlineStr">
        <is>
          <t>https://github.com/Ayaaeliass</t>
        </is>
      </c>
      <c r="J13" s="2" t="n"/>
      <c r="K13" s="2" t="n"/>
      <c r="L13" s="2" t="inlineStr">
        <is>
          <t>Yes</t>
        </is>
      </c>
      <c r="M13" s="2" t="n"/>
      <c r="N13" s="2" t="n"/>
    </row>
    <row r="14" ht="18" customHeight="1" s="22">
      <c r="A14" s="2">
        <f>IF(C14&lt;&gt;"","TM-"&amp;TEXT(ROW()+6,"0000"),"")</f>
        <v/>
      </c>
      <c r="B14" s="2" t="inlineStr">
        <is>
          <t>ITC-EGYPT 2026 Anti-Drone Challenge</t>
        </is>
      </c>
      <c r="C14" s="2" t="inlineStr">
        <is>
          <t>SADAR AI Team</t>
        </is>
      </c>
      <c r="D14" s="2" t="inlineStr">
        <is>
          <t>Aya Ashraf Elias AbdelMaksoud</t>
        </is>
      </c>
      <c r="E14" s="2" t="inlineStr">
        <is>
          <t>Ayaaeliass@gmail.com</t>
        </is>
      </c>
      <c r="F14" s="2" t="inlineStr">
        <is>
          <t>01277474411</t>
        </is>
      </c>
      <c r="G14" s="2" t="inlineStr">
        <is>
          <t>AI &amp; Machine Learning</t>
        </is>
      </c>
      <c r="H14" s="2" t="inlineStr">
        <is>
          <t>UI/UX Designer</t>
        </is>
      </c>
      <c r="I14" s="2" t="inlineStr">
        <is>
          <t>https://github.com/Ayaaeliass</t>
        </is>
      </c>
      <c r="J14" s="2" t="n"/>
      <c r="K14" s="2" t="n"/>
      <c r="L14" s="2" t="inlineStr">
        <is>
          <t>Yes</t>
        </is>
      </c>
      <c r="M14" s="2" t="n"/>
      <c r="N14" s="2" t="n"/>
    </row>
    <row r="15" ht="18" customHeight="1" s="22">
      <c r="A15" s="2">
        <f>IF(C15&lt;&gt;"","TM-"&amp;TEXT(ROW()+6,"0000"),"")</f>
        <v/>
      </c>
      <c r="B15" s="2" t="inlineStr">
        <is>
          <t>Creativa Alexandria: AI Hackathon – AI for Egypt Real Problems</t>
        </is>
      </c>
      <c r="C15" s="2" t="inlineStr">
        <is>
          <t>AeroMind AI</t>
        </is>
      </c>
      <c r="D15" s="2" t="inlineStr">
        <is>
          <t>Mohamed Abd Elsalam Mohamed Gharieb</t>
        </is>
      </c>
      <c r="E15" s="2" t="inlineStr">
        <is>
          <t>moghariebai@gmail.com</t>
        </is>
      </c>
      <c r="F15" s="2" t="inlineStr">
        <is>
          <t>+20 01022487565</t>
        </is>
      </c>
      <c r="G15" s="2" t="inlineStr">
        <is>
          <t>AI &amp; Machine Learning</t>
        </is>
      </c>
      <c r="H15" s="2" t="inlineStr">
        <is>
          <t>Leader</t>
        </is>
      </c>
      <c r="I15" s="2" t="inlineStr">
        <is>
          <t>https://github.com/GhariebML</t>
        </is>
      </c>
      <c r="J15" s="2" t="n"/>
      <c r="K15" s="2" t="n"/>
      <c r="L15" s="2" t="inlineStr">
        <is>
          <t>Yes</t>
        </is>
      </c>
      <c r="M15" s="2" t="n"/>
      <c r="N15" s="2" t="n"/>
    </row>
    <row r="16" ht="18" customHeight="1" s="22">
      <c r="A16" s="2">
        <f>IF(C16&lt;&gt;"","TM-"&amp;TEXT(ROW()+6,"0000"),"")</f>
        <v/>
      </c>
      <c r="B16" s="2" t="inlineStr">
        <is>
          <t>Creativa Alexandria: AI Hackathon – AI for Egypt Real Problems</t>
        </is>
      </c>
      <c r="C16" s="2" t="inlineStr">
        <is>
          <t>AeroMind AI</t>
        </is>
      </c>
      <c r="D16" s="2" t="inlineStr">
        <is>
          <t>Aya Mostafa Ali Hassan</t>
        </is>
      </c>
      <c r="E16" s="2" t="inlineStr">
        <is>
          <t>aya.mostafa.hassan@gmail.com</t>
        </is>
      </c>
      <c r="F16" s="2" t="inlineStr">
        <is>
          <t>01156565656</t>
        </is>
      </c>
      <c r="G16" s="2" t="inlineStr">
        <is>
          <t>AI &amp; Machine Learning</t>
        </is>
      </c>
      <c r="H16" s="2" t="inlineStr">
        <is>
          <t>AI Developer</t>
        </is>
      </c>
      <c r="I16" s="2" t="inlineStr">
        <is>
          <t>https://github.com/ayamostafa</t>
        </is>
      </c>
      <c r="J16" s="2" t="n"/>
      <c r="K16" s="2" t="n"/>
      <c r="L16" s="2" t="inlineStr">
        <is>
          <t>Yes</t>
        </is>
      </c>
      <c r="M16" s="2" t="n"/>
      <c r="N16" s="2" t="n"/>
    </row>
    <row r="17" ht="18" customHeight="1" s="22">
      <c r="A17" s="2">
        <f>IF(C17&lt;&gt;"","TM-"&amp;TEXT(ROW()+6,"0000"),"")</f>
        <v/>
      </c>
      <c r="B17" s="2" t="inlineStr">
        <is>
          <t>Creativa Alexandria: AI Hackathon – AI for Egypt Real Problems</t>
        </is>
      </c>
      <c r="C17" s="2" t="inlineStr">
        <is>
          <t>AeroMind AI</t>
        </is>
      </c>
      <c r="D17" s="2" t="inlineStr">
        <is>
          <t>Aya Emad Ramadan Elsaby</t>
        </is>
      </c>
      <c r="E17" s="2" t="inlineStr">
        <is>
          <t>aya.emad.elsaby@gmail.com</t>
        </is>
      </c>
      <c r="F17" s="2" t="inlineStr">
        <is>
          <t>01121897160</t>
        </is>
      </c>
      <c r="G17" s="2" t="inlineStr">
        <is>
          <t>AI &amp; Machine Learning</t>
        </is>
      </c>
      <c r="H17" s="2" t="inlineStr">
        <is>
          <t>AI Developer</t>
        </is>
      </c>
      <c r="I17" s="2" t="inlineStr">
        <is>
          <t>https://github.com/ayaemad</t>
        </is>
      </c>
      <c r="J17" s="2" t="n"/>
      <c r="K17" s="2" t="n"/>
      <c r="L17" s="2" t="inlineStr">
        <is>
          <t>Yes</t>
        </is>
      </c>
      <c r="M17" s="2" t="n"/>
      <c r="N17" s="2" t="n"/>
    </row>
    <row r="18" ht="18" customHeight="1" s="22">
      <c r="A18" s="2">
        <f>IF(C18&lt;&gt;"","TM-"&amp;TEXT(ROW()+6,"0000"),"")</f>
        <v/>
      </c>
      <c r="B18" s="2" t="inlineStr">
        <is>
          <t>Creativa Alexandria: AI Hackathon – AI for Egypt Real Problems</t>
        </is>
      </c>
      <c r="C18" s="2" t="inlineStr">
        <is>
          <t>AeroMind AI</t>
        </is>
      </c>
      <c r="D18" s="2" t="inlineStr">
        <is>
          <t>Eman Mansour Abdel Halim Barrin</t>
        </is>
      </c>
      <c r="E18" s="2" t="inlineStr">
        <is>
          <t>eman.mansour.barrin@gmail.com</t>
        </is>
      </c>
      <c r="F18" s="2" t="inlineStr">
        <is>
          <t>01068302915</t>
        </is>
      </c>
      <c r="G18" s="2" t="inlineStr">
        <is>
          <t>AI &amp; Machine Learning</t>
        </is>
      </c>
      <c r="H18" s="2" t="inlineStr">
        <is>
          <t>Signal Processing Specialist</t>
        </is>
      </c>
      <c r="I18" s="2" t="inlineStr">
        <is>
          <t>https://github.com/emanmansour</t>
        </is>
      </c>
      <c r="J18" s="2" t="n"/>
      <c r="K18" s="2" t="n"/>
      <c r="L18" s="2" t="inlineStr">
        <is>
          <t>Yes</t>
        </is>
      </c>
      <c r="M18" s="2" t="n"/>
      <c r="N18" s="2" t="n"/>
    </row>
    <row r="19" ht="18" customHeight="1" s="22">
      <c r="A19" s="83">
        <f>IF(C19&lt;&gt;"","TM-"&amp;TEXT(ROW()+6,"0000"),"")</f>
        <v/>
      </c>
      <c r="B19" s="83" t="inlineStr">
        <is>
          <t>Creativa Alexandria: AI Hackathon – AI for Egypt Real Problems</t>
        </is>
      </c>
      <c r="C19" s="83" t="inlineStr">
        <is>
          <t>Bingoo AI Team</t>
        </is>
      </c>
      <c r="D19" s="83" t="inlineStr">
        <is>
          <t>Mohamed Abd Elsalam Mohamed Gharieb</t>
        </is>
      </c>
      <c r="E19" s="83" t="inlineStr">
        <is>
          <t>moghariebai@gmail.com</t>
        </is>
      </c>
      <c r="F19" s="83" t="inlineStr">
        <is>
          <t>+20 01022487565</t>
        </is>
      </c>
      <c r="G19" s="83" t="inlineStr">
        <is>
          <t>AI &amp; Machine Learning</t>
        </is>
      </c>
      <c r="H19" s="83" t="inlineStr">
        <is>
          <t>Leader</t>
        </is>
      </c>
      <c r="I19" s="83" t="inlineStr">
        <is>
          <t>https://github.com/GhariebML</t>
        </is>
      </c>
      <c r="J19" s="83" t="inlineStr">
        <is>
          <t>https://linkedin.com/in/ghariebml</t>
        </is>
      </c>
      <c r="K19" s="83" t="n"/>
      <c r="L19" s="83" t="inlineStr">
        <is>
          <t>Yes</t>
        </is>
      </c>
      <c r="M19" s="83" t="n"/>
      <c r="N19" s="83" t="n"/>
    </row>
    <row r="20" ht="18" customHeight="1" s="22">
      <c r="A20" s="83">
        <f>IF(C20&lt;&gt;"","TM-"&amp;TEXT(ROW()+6,"0000"),"")</f>
        <v/>
      </c>
      <c r="B20" s="83" t="inlineStr">
        <is>
          <t>Creativa Alexandria: AI Hackathon – AI for Egypt Real Problems</t>
        </is>
      </c>
      <c r="C20" s="83" t="inlineStr">
        <is>
          <t>Bingoo AI Team</t>
        </is>
      </c>
      <c r="D20" s="83" t="inlineStr">
        <is>
          <t>Aya Mostafa Ali Hassan</t>
        </is>
      </c>
      <c r="E20" s="83" t="inlineStr">
        <is>
          <t>aya.mostafa.hassan@gmail.com</t>
        </is>
      </c>
      <c r="F20" s="83" t="inlineStr">
        <is>
          <t>01156565656</t>
        </is>
      </c>
      <c r="G20" s="83" t="inlineStr">
        <is>
          <t>AI &amp; Machine Learning</t>
        </is>
      </c>
      <c r="H20" s="83" t="inlineStr">
        <is>
          <t>AI Developer</t>
        </is>
      </c>
      <c r="I20" s="83" t="inlineStr">
        <is>
          <t>https://github.com/ayamostafa</t>
        </is>
      </c>
      <c r="J20" s="83" t="n"/>
      <c r="K20" s="83" t="n"/>
      <c r="L20" s="83" t="inlineStr">
        <is>
          <t>Yes</t>
        </is>
      </c>
      <c r="M20" s="83" t="n"/>
      <c r="N20" s="83" t="n"/>
    </row>
    <row r="21" ht="18" customHeight="1" s="22">
      <c r="A21" s="83">
        <f>IF(C21&lt;&gt;"","TM-"&amp;TEXT(ROW()+6,"0000"),"")</f>
        <v/>
      </c>
      <c r="B21" s="83" t="inlineStr">
        <is>
          <t>Creativa Alexandria: AI Hackathon – AI for Egypt Real Problems</t>
        </is>
      </c>
      <c r="C21" s="83" t="inlineStr">
        <is>
          <t>Bingoo AI Team</t>
        </is>
      </c>
      <c r="D21" s="83" t="inlineStr">
        <is>
          <t>Aya Emad Ramadan Elsaby</t>
        </is>
      </c>
      <c r="E21" s="83" t="inlineStr">
        <is>
          <t>aya.emad.elsaby@gmail.com</t>
        </is>
      </c>
      <c r="F21" s="83" t="inlineStr">
        <is>
          <t>01121897160</t>
        </is>
      </c>
      <c r="G21" s="83" t="inlineStr">
        <is>
          <t>AI &amp; Machine Learning</t>
        </is>
      </c>
      <c r="H21" s="83" t="inlineStr">
        <is>
          <t>AI Developer</t>
        </is>
      </c>
      <c r="I21" s="83" t="inlineStr">
        <is>
          <t>https://github.com/ayaemad</t>
        </is>
      </c>
      <c r="J21" s="83" t="n"/>
      <c r="K21" s="83" t="n"/>
      <c r="L21" s="83" t="inlineStr">
        <is>
          <t>Yes</t>
        </is>
      </c>
      <c r="M21" s="83" t="n"/>
      <c r="N21" s="83" t="n"/>
    </row>
    <row r="22" ht="18" customHeight="1" s="22">
      <c r="A22" s="83">
        <f>IF(C22&lt;&gt;"","TM-"&amp;TEXT(ROW()+6,"0000"),"")</f>
        <v/>
      </c>
      <c r="B22" s="83" t="inlineStr">
        <is>
          <t>Creativa Alexandria: AI Hackathon – AI for Egypt Real Problems</t>
        </is>
      </c>
      <c r="C22" s="83" t="inlineStr">
        <is>
          <t>Bingoo AI Team</t>
        </is>
      </c>
      <c r="D22" s="83" t="inlineStr">
        <is>
          <t>Eman Mansour Abdel Halim Barrin</t>
        </is>
      </c>
      <c r="E22" s="83" t="inlineStr">
        <is>
          <t>eman.mansour.barrin@gmail.com</t>
        </is>
      </c>
      <c r="F22" s="83" t="inlineStr">
        <is>
          <t>01068302915</t>
        </is>
      </c>
      <c r="G22" s="83" t="inlineStr">
        <is>
          <t>AI &amp; Machine Learning</t>
        </is>
      </c>
      <c r="H22" s="83" t="inlineStr">
        <is>
          <t>Signal Processing Specialist</t>
        </is>
      </c>
      <c r="I22" s="83" t="inlineStr">
        <is>
          <t>https://github.com/emanmansour</t>
        </is>
      </c>
      <c r="J22" s="83" t="n"/>
      <c r="K22" s="83" t="n"/>
      <c r="L22" s="83" t="inlineStr">
        <is>
          <t>Yes</t>
        </is>
      </c>
      <c r="M22" s="83" t="n"/>
      <c r="N22" s="83" t="n"/>
    </row>
    <row r="23" ht="18" customHeight="1" s="22"/>
    <row r="24" ht="18" customHeight="1" s="22"/>
  </sheetData>
  <autoFilter ref="A4:L4"/>
  <mergeCells count="2">
    <mergeCell ref="A2:N2"/>
    <mergeCell ref="A1:N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0E7490"/>
    <outlinePr summaryBelow="1" summaryRight="1"/>
    <pageSetUpPr/>
  </sheetPr>
  <dimension ref="A1:O7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5" sqref="A5"/>
    </sheetView>
  </sheetViews>
  <sheetFormatPr baseColWidth="8" defaultColWidth="8.6328125" defaultRowHeight="14.5"/>
  <cols>
    <col width="14" customWidth="1" style="22" min="1" max="1"/>
    <col width="36" customWidth="1" style="22" min="2" max="2"/>
    <col width="20" customWidth="1" style="22" min="3" max="3"/>
    <col width="36" customWidth="1" style="22" min="4" max="5"/>
    <col width="24" customWidth="1" style="22" min="6" max="6"/>
    <col width="16" customWidth="1" style="22" min="7" max="7"/>
    <col width="12" customWidth="1" style="22" min="8" max="8"/>
    <col width="14" customWidth="1" style="22" min="9" max="9"/>
    <col width="16" customWidth="1" style="22" min="10" max="10"/>
    <col width="18" customWidth="1" style="22" min="11" max="11"/>
    <col width="16" customWidth="1" style="22" min="12" max="12"/>
    <col width="30" customWidth="1" style="22" min="13" max="13"/>
    <col width="12" customWidth="1" style="22" min="14" max="14"/>
    <col width="30" customWidth="1" style="22" min="15" max="15"/>
  </cols>
  <sheetData>
    <row r="1" ht="36" customHeight="1" s="22">
      <c r="A1" s="27" t="inlineStr">
        <is>
          <t>🏅  Competitions Database</t>
        </is>
      </c>
    </row>
    <row r="2" ht="18" customHeight="1" s="22">
      <c r="A2" s="24" t="inlineStr">
        <is>
          <t>Master list of all competitions tracked by Digilians</t>
        </is>
      </c>
    </row>
    <row r="4" ht="27.75" customHeight="1" s="22">
      <c r="A4" s="8" t="inlineStr">
        <is>
          <t>Competition ID</t>
        </is>
      </c>
      <c r="B4" s="8" t="inlineStr">
        <is>
          <t>Competition Name</t>
        </is>
      </c>
      <c r="C4" s="8" t="inlineStr">
        <is>
          <t>Organizer</t>
        </is>
      </c>
      <c r="D4" s="8" t="inlineStr">
        <is>
          <t>Website</t>
        </is>
      </c>
      <c r="E4" s="8" t="inlineStr">
        <is>
          <t>Registration Link</t>
        </is>
      </c>
      <c r="F4" s="8" t="inlineStr">
        <is>
          <t>Category</t>
        </is>
      </c>
      <c r="G4" s="8" t="inlineStr">
        <is>
          <t>Country</t>
        </is>
      </c>
      <c r="H4" s="8" t="inlineStr">
        <is>
          <t>Online/Offline</t>
        </is>
      </c>
      <c r="I4" s="8" t="inlineStr">
        <is>
          <t>Reg. Opens</t>
        </is>
      </c>
      <c r="J4" s="8" t="inlineStr">
        <is>
          <t>Reg. Deadline</t>
        </is>
      </c>
      <c r="K4" s="8" t="inlineStr">
        <is>
          <t>Submission Deadline</t>
        </is>
      </c>
      <c r="L4" s="8" t="inlineStr">
        <is>
          <t>Prize</t>
        </is>
      </c>
      <c r="M4" s="8" t="inlineStr">
        <is>
          <t>Announcement Link</t>
        </is>
      </c>
      <c r="N4" s="8" t="inlineStr">
        <is>
          <t>Status</t>
        </is>
      </c>
      <c r="O4" s="8" t="inlineStr">
        <is>
          <t>Notes</t>
        </is>
      </c>
    </row>
    <row r="5" ht="18" customHeight="1" s="22">
      <c r="A5" s="2">
        <f>IF(B5&lt;&gt;"","COMP-"&amp;TEXT(ROW()+6,"0000"),"")</f>
        <v/>
      </c>
      <c r="B5" s="2" t="inlineStr">
        <is>
          <t>ITC-EGYPT 2026</t>
        </is>
      </c>
      <c r="C5" s="2" t="inlineStr">
        <is>
          <t>ITC Egypt</t>
        </is>
      </c>
      <c r="D5" s="2" t="inlineStr">
        <is>
          <t>https://itc-egypt.org</t>
        </is>
      </c>
      <c r="E5" s="2" t="inlineStr">
        <is>
          <t>https://itc-egypt.org/register</t>
        </is>
      </c>
      <c r="F5" s="2" t="inlineStr">
        <is>
          <t>AI &amp; Machine Learning</t>
        </is>
      </c>
      <c r="G5" s="2" t="inlineStr">
        <is>
          <t>Egypt</t>
        </is>
      </c>
      <c r="H5" s="2" t="inlineStr">
        <is>
          <t>Online</t>
        </is>
      </c>
      <c r="I5" s="3" t="inlineStr">
        <is>
          <t>2026-01-01 00:00:00</t>
        </is>
      </c>
      <c r="J5" s="3" t="inlineStr">
        <is>
          <t>2026-04-30 00:00:00</t>
        </is>
      </c>
      <c r="K5" s="3" t="inlineStr">
        <is>
          <t>2026-07-31 00:00:00</t>
        </is>
      </c>
      <c r="L5" s="2" t="inlineStr">
        <is>
          <t>N/A</t>
        </is>
      </c>
      <c r="M5" s="2" t="inlineStr">
        <is>
          <t>https://itc-egypt.org/results</t>
        </is>
      </c>
      <c r="N5" s="2" t="inlineStr">
        <is>
          <t>Open</t>
        </is>
      </c>
      <c r="O5" s="2" t="inlineStr">
        <is>
          <t>Main event track for artificial intelligence and machine learning submissions.</t>
        </is>
      </c>
    </row>
    <row r="6" ht="18" customHeight="1" s="22">
      <c r="A6" s="2">
        <f>IF(B6&lt;&gt;"","COMP-"&amp;TEXT(ROW()+6,"0000"),"")</f>
        <v/>
      </c>
      <c r="B6" s="2" t="inlineStr">
        <is>
          <t>ITC-EGYPT 2026 Anti-Drone Challenge</t>
        </is>
      </c>
      <c r="C6" s="2" t="inlineStr">
        <is>
          <t>ITC Egypt</t>
        </is>
      </c>
      <c r="D6" s="2" t="inlineStr">
        <is>
          <t>https://itc-egypt.org</t>
        </is>
      </c>
      <c r="E6" s="2" t="inlineStr">
        <is>
          <t>https://itc-egypt.org/register</t>
        </is>
      </c>
      <c r="F6" s="2" t="inlineStr">
        <is>
          <t>AI &amp; Machine Learning</t>
        </is>
      </c>
      <c r="G6" s="2" t="inlineStr">
        <is>
          <t>Egypt</t>
        </is>
      </c>
      <c r="H6" s="2" t="inlineStr">
        <is>
          <t>Online</t>
        </is>
      </c>
      <c r="I6" s="3" t="inlineStr">
        <is>
          <t>2026-01-01 00:00:00</t>
        </is>
      </c>
      <c r="J6" s="3" t="inlineStr">
        <is>
          <t>2026-04-30 00:00:00</t>
        </is>
      </c>
      <c r="K6" s="3" t="inlineStr">
        <is>
          <t>2026-07-31 00:00:00</t>
        </is>
      </c>
      <c r="L6" s="2" t="inlineStr">
        <is>
          <t>N/A</t>
        </is>
      </c>
      <c r="M6" s="2" t="inlineStr">
        <is>
          <t>https://itc-egypt.org/results</t>
        </is>
      </c>
      <c r="N6" s="2" t="inlineStr">
        <is>
          <t>Open</t>
        </is>
      </c>
      <c r="O6" s="2" t="inlineStr">
        <is>
          <t>Special challenge track focusing on spectrum intelligence and anti-drone detection systems.</t>
        </is>
      </c>
    </row>
    <row r="7" ht="18" customHeight="1" s="22">
      <c r="A7" s="2">
        <f>IF(B7&lt;&gt;"","COMP-"&amp;TEXT(ROW()+6,"0000"),"")</f>
        <v/>
      </c>
      <c r="B7" s="2" t="inlineStr">
        <is>
          <t>Creativa Alexandria: AI Hackathon – AI for Egypt Real Problems</t>
        </is>
      </c>
      <c r="C7" s="2" t="inlineStr">
        <is>
          <t>Creativa Alexandria</t>
        </is>
      </c>
      <c r="D7" s="2" t="inlineStr">
        <is>
          <t>https://creativa.gov.eg</t>
        </is>
      </c>
      <c r="E7" s="2" t="inlineStr">
        <is>
          <t>https://creativa.gov.eg/register</t>
        </is>
      </c>
      <c r="F7" s="2" t="inlineStr">
        <is>
          <t>AI &amp; Machine Learning</t>
        </is>
      </c>
      <c r="G7" s="2" t="inlineStr">
        <is>
          <t>Egypt</t>
        </is>
      </c>
      <c r="H7" s="2" t="inlineStr">
        <is>
          <t>Offline</t>
        </is>
      </c>
      <c r="I7" s="3" t="inlineStr">
        <is>
          <t>2026-05-01 00:00:00</t>
        </is>
      </c>
      <c r="J7" s="3" t="inlineStr">
        <is>
          <t>2026-06-15 00:00:00</t>
        </is>
      </c>
      <c r="K7" s="3" t="inlineStr">
        <is>
          <t>2026-06-20 00:00:00</t>
        </is>
      </c>
      <c r="L7" s="2" t="inlineStr">
        <is>
          <t>N/A</t>
        </is>
      </c>
      <c r="M7" s="2" t="inlineStr">
        <is>
          <t>https://creativa.gov.eg/results</t>
        </is>
      </c>
      <c r="N7" s="2" t="inlineStr">
        <is>
          <t>Finished</t>
        </is>
      </c>
      <c r="O7" s="2" t="inlineStr">
        <is>
          <t>AI Hackathon focusing on real-world problems in Egypt.</t>
        </is>
      </c>
    </row>
    <row r="8" ht="18" customHeight="1" s="22"/>
    <row r="9" ht="18" customHeight="1" s="22"/>
    <row r="10" ht="18" customHeight="1" s="22"/>
    <row r="11" ht="18" customHeight="1" s="22"/>
    <row r="12" ht="18" customHeight="1" s="22"/>
    <row r="13" ht="18" customHeight="1" s="22"/>
    <row r="14" ht="18" customHeight="1" s="22"/>
    <row r="15" ht="18" customHeight="1" s="22"/>
    <row r="16" ht="18" customHeight="1" s="22"/>
  </sheetData>
  <autoFilter ref="A4:O4"/>
  <mergeCells count="2">
    <mergeCell ref="A1:O1"/>
    <mergeCell ref="A2:O2"/>
  </mergeCells>
  <conditionalFormatting sqref="N5:N2000">
    <cfRule type="expression" priority="2" dxfId="2">
      <formula>N5="Open"</formula>
    </cfRule>
    <cfRule type="expression" priority="3" dxfId="7">
      <formula>N5="Finished"</formula>
    </cfRule>
    <cfRule type="expression" priority="4" dxfId="6">
      <formula>N5="Upcoming"</formula>
    </cfRule>
  </conditionalFormatting>
  <dataValidations count="1">
    <dataValidation sqref="N5:N1014" showDropDown="0" showInputMessage="0" showErrorMessage="0" allowBlank="1" type="list">
      <formula1>"Upcoming,Open,Closed,Finished"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F59E0B"/>
    <outlinePr summaryBelow="1" summaryRight="1"/>
    <pageSetUpPr/>
  </sheetPr>
  <dimension ref="A1:L8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" sqref="A1:L1"/>
    </sheetView>
  </sheetViews>
  <sheetFormatPr baseColWidth="8" defaultColWidth="8.6328125" defaultRowHeight="14.5"/>
  <cols>
    <col width="14" customWidth="1" style="22" min="1" max="1"/>
    <col width="36" customWidth="1" style="22" min="2" max="2"/>
    <col width="22" customWidth="1" style="22" min="3" max="3"/>
    <col width="24" customWidth="1" style="22" min="4" max="4"/>
    <col width="16" customWidth="1" style="22" min="5" max="5"/>
    <col width="10" customWidth="1" style="22" min="6" max="6"/>
    <col width="16" customWidth="1" style="22" min="7" max="8"/>
    <col width="28" customWidth="1" style="22" min="9" max="11"/>
    <col width="10" customWidth="1" style="22" min="12" max="12"/>
  </cols>
  <sheetData>
    <row r="1" ht="36" customHeight="1" s="22">
      <c r="A1" s="27" t="inlineStr">
        <is>
          <t>🎖  Achievements Register</t>
        </is>
      </c>
    </row>
    <row r="2" ht="18" customHeight="1" s="22">
      <c r="A2" s="24" t="inlineStr">
        <is>
          <t>Official record of all verified competition achievements</t>
        </is>
      </c>
    </row>
    <row r="4" ht="25.5" customHeight="1" s="22">
      <c r="A4" s="9" t="inlineStr">
        <is>
          <t>Achievement ID</t>
        </is>
      </c>
      <c r="B4" s="9" t="inlineStr">
        <is>
          <t>Competition Name</t>
        </is>
      </c>
      <c r="C4" s="9" t="inlineStr">
        <is>
          <t>Team Name</t>
        </is>
      </c>
      <c r="D4" s="9" t="inlineStr">
        <is>
          <t>Student Name</t>
        </is>
      </c>
      <c r="E4" s="9" t="inlineStr">
        <is>
          <t>Achievement</t>
        </is>
      </c>
      <c r="F4" s="9" t="inlineStr">
        <is>
          <t>Ranking</t>
        </is>
      </c>
      <c r="G4" s="9" t="inlineStr">
        <is>
          <t>Prize</t>
        </is>
      </c>
      <c r="H4" s="9" t="inlineStr">
        <is>
          <t>Achievement Date</t>
        </is>
      </c>
      <c r="I4" s="9" t="inlineStr">
        <is>
          <t>Certificate Link</t>
        </is>
      </c>
      <c r="J4" s="9" t="inlineStr">
        <is>
          <t>Photos Link</t>
        </is>
      </c>
      <c r="K4" s="9" t="inlineStr">
        <is>
          <t>News Link</t>
        </is>
      </c>
      <c r="L4" s="9" t="inlineStr">
        <is>
          <t>Verified</t>
        </is>
      </c>
    </row>
    <row r="5" ht="18" customHeight="1" s="22">
      <c r="A5" s="2">
        <f>IF(B5&lt;&gt;"","ACH-"&amp;TEXT(ROW()+6,"0000"),"")</f>
        <v/>
      </c>
      <c r="B5" s="2" t="inlineStr">
        <is>
          <t>ITC-EGYPT 2026</t>
        </is>
      </c>
      <c r="C5" s="2" t="inlineStr">
        <is>
          <t>SADAR AI Team</t>
        </is>
      </c>
      <c r="D5" s="2" t="inlineStr">
        <is>
          <t>Mohamed Abd Elsalam Mohamed Gharieb</t>
        </is>
      </c>
      <c r="E5" s="2" t="inlineStr">
        <is>
          <t>Passed First Stage Review and Advanced to Phase 2</t>
        </is>
      </c>
      <c r="F5" s="2" t="inlineStr">
        <is>
          <t>Phase 2 Participant</t>
        </is>
      </c>
      <c r="G5" s="2" t="inlineStr">
        <is>
          <t>N/A</t>
        </is>
      </c>
      <c r="H5" s="3" t="inlineStr">
        <is>
          <t>2026-06-25</t>
        </is>
      </c>
      <c r="I5" s="2" t="n"/>
      <c r="J5" s="2" t="n"/>
      <c r="K5" s="2" t="n"/>
      <c r="L5" s="2" t="inlineStr">
        <is>
          <t>Yes</t>
        </is>
      </c>
    </row>
    <row r="6" ht="18" customHeight="1" s="22">
      <c r="A6" s="2">
        <f>IF(B6&lt;&gt;"","ACH-"&amp;TEXT(ROW()+6,"0000"),"")</f>
        <v/>
      </c>
      <c r="B6" s="2" t="inlineStr">
        <is>
          <t>ITC-EGYPT 2026 Anti-Drone Challenge</t>
        </is>
      </c>
      <c r="C6" s="2" t="inlineStr">
        <is>
          <t>SADAR AI Team</t>
        </is>
      </c>
      <c r="D6" s="2" t="inlineStr">
        <is>
          <t>Mohamed Abd Elsalam Mohamed Gharieb</t>
        </is>
      </c>
      <c r="E6" s="2" t="inlineStr">
        <is>
          <t>Passed First Stage Review and Advanced to Phase 2</t>
        </is>
      </c>
      <c r="F6" s="2" t="inlineStr">
        <is>
          <t>Phase 2 Participant</t>
        </is>
      </c>
      <c r="G6" s="2" t="inlineStr">
        <is>
          <t>N/A</t>
        </is>
      </c>
      <c r="H6" s="3" t="inlineStr">
        <is>
          <t>2026-06-25</t>
        </is>
      </c>
      <c r="I6" s="2" t="n"/>
      <c r="J6" s="2" t="n"/>
      <c r="K6" s="2" t="n"/>
      <c r="L6" s="2" t="inlineStr">
        <is>
          <t>Yes</t>
        </is>
      </c>
    </row>
    <row r="7" ht="18" customHeight="1" s="22">
      <c r="A7" s="2">
        <f>IF(B7&lt;&gt;"","ACH-"&amp;TEXT(ROW()+6,"0000"),"")</f>
        <v/>
      </c>
      <c r="B7" s="2" t="inlineStr">
        <is>
          <t>Creativa Alexandria: AI Hackathon – AI for Egypt Real Problems</t>
        </is>
      </c>
      <c r="C7" s="2" t="inlineStr">
        <is>
          <t>AeroMind AI</t>
        </is>
      </c>
      <c r="D7" s="2" t="inlineStr">
        <is>
          <t>Mohamed Abd Elsalam Mohamed Gharieb</t>
        </is>
      </c>
      <c r="E7" s="2" t="inlineStr">
        <is>
          <t>Developed MVP prototype for road safety and smart infrastructure</t>
        </is>
      </c>
      <c r="F7" s="2" t="inlineStr">
        <is>
          <t>Finalist</t>
        </is>
      </c>
      <c r="G7" s="2" t="inlineStr">
        <is>
          <t>N/A</t>
        </is>
      </c>
      <c r="H7" s="3" t="inlineStr">
        <is>
          <t>2026-06-20</t>
        </is>
      </c>
      <c r="I7" s="2" t="n"/>
      <c r="J7" s="2" t="n"/>
      <c r="K7" s="2" t="n"/>
      <c r="L7" s="2" t="inlineStr">
        <is>
          <t>Yes</t>
        </is>
      </c>
    </row>
    <row r="8" ht="18" customHeight="1" s="22">
      <c r="A8" s="83">
        <f>IF(B8&lt;&gt;"","ACH-"&amp;TEXT(ROW()+6,"0000"),"")</f>
        <v/>
      </c>
      <c r="B8" s="83" t="inlineStr">
        <is>
          <t>Creativa Alexandria: AI Hackathon – AI for Egypt Real Problems</t>
        </is>
      </c>
      <c r="C8" s="83" t="inlineStr">
        <is>
          <t>Bingoo AI Team</t>
        </is>
      </c>
      <c r="D8" s="83" t="inlineStr">
        <is>
          <t>Mohamed Abd Elsalam Mohamed Gharieb</t>
        </is>
      </c>
      <c r="E8" s="83" t="inlineStr">
        <is>
          <t>Accepted / Approved for Hackathon Participation</t>
        </is>
      </c>
      <c r="F8" s="83" t="inlineStr">
        <is>
          <t>Participant</t>
        </is>
      </c>
      <c r="G8" s="83" t="inlineStr">
        <is>
          <t>N/A</t>
        </is>
      </c>
      <c r="H8" s="84" t="inlineStr">
        <is>
          <t>2026-06-26</t>
        </is>
      </c>
      <c r="I8" s="83" t="inlineStr">
        <is>
          <t>None</t>
        </is>
      </c>
      <c r="J8" s="83" t="inlineStr">
        <is>
          <t>None</t>
        </is>
      </c>
      <c r="K8" s="83" t="inlineStr">
        <is>
          <t>None</t>
        </is>
      </c>
      <c r="L8" s="83" t="inlineStr">
        <is>
          <t>Yes</t>
        </is>
      </c>
    </row>
    <row r="9" ht="18" customHeight="1" s="22"/>
    <row r="10" ht="18" customHeight="1" s="22"/>
    <row r="11" ht="18" customHeight="1" s="22"/>
    <row r="12" ht="18" customHeight="1" s="22"/>
    <row r="13" ht="18" customHeight="1" s="22"/>
  </sheetData>
  <autoFilter ref="A4:L4"/>
  <mergeCells count="2">
    <mergeCell ref="A2:L2"/>
    <mergeCell ref="A1:L1"/>
  </mergeCells>
  <conditionalFormatting sqref="L5:L2000">
    <cfRule type="expression" priority="2" dxfId="2">
      <formula>L5="Yes"</formula>
    </cfRule>
    <cfRule type="expression" priority="3" dxfId="4">
      <formula>L5="No"</formula>
    </cfRule>
  </conditionalFormatting>
  <dataValidations count="1">
    <dataValidation sqref="L5:L1011" showDropDown="0" showInputMessage="0" showErrorMessage="0" allowBlank="1" type="list">
      <formula1>"Yes,No"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6D28D9"/>
    <outlinePr summaryBelow="1" summaryRight="1"/>
    <pageSetUpPr/>
  </sheetPr>
  <dimension ref="A1:P10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" sqref="A1:P1"/>
    </sheetView>
  </sheetViews>
  <sheetFormatPr baseColWidth="8" defaultColWidth="8.6328125" defaultRowHeight="14.5"/>
  <cols>
    <col width="12" customWidth="1" style="22" min="1" max="1"/>
    <col width="24" customWidth="1" style="22" min="2" max="2"/>
    <col width="30" customWidth="1" style="22" min="3" max="3"/>
    <col width="16" customWidth="1" style="22" min="4" max="4"/>
    <col width="24" customWidth="1" style="22" min="5" max="5"/>
    <col width="12" customWidth="1" style="22" min="6" max="6"/>
    <col width="26" customWidth="1" style="22" min="7" max="7"/>
    <col width="22" customWidth="1" style="22" min="8" max="8"/>
    <col width="30" customWidth="1" style="22" min="9" max="10"/>
    <col width="28" customWidth="1" style="22" min="11" max="11"/>
    <col width="16" customWidth="1" style="22" min="12" max="12"/>
    <col width="12" customWidth="1" style="22" min="13" max="13"/>
    <col width="14" customWidth="1" style="22" min="14" max="15"/>
  </cols>
  <sheetData>
    <row r="1" ht="36" customHeight="1" s="22">
      <c r="A1" s="27" t="inlineStr">
        <is>
          <t>👤  Student Directory</t>
        </is>
      </c>
    </row>
    <row r="2" ht="18" customHeight="1" s="22">
      <c r="A2" s="24" t="inlineStr">
        <is>
          <t>Complete student registry with competition stats</t>
        </is>
      </c>
    </row>
    <row r="4" ht="27.75" customHeight="1" s="22">
      <c r="A4" s="10" t="inlineStr">
        <is>
          <t>Student ID</t>
        </is>
      </c>
      <c r="B4" s="10" t="inlineStr">
        <is>
          <t>Full Name</t>
        </is>
      </c>
      <c r="C4" s="10" t="inlineStr">
        <is>
          <t>Email</t>
        </is>
      </c>
      <c r="D4" s="10" t="inlineStr">
        <is>
          <t>Phone</t>
        </is>
      </c>
      <c r="E4" s="10" t="inlineStr">
        <is>
          <t>Track</t>
        </is>
      </c>
      <c r="F4" s="10" t="inlineStr">
        <is>
          <t>Batch</t>
        </is>
      </c>
      <c r="G4" s="10" t="inlineStr">
        <is>
          <t>University</t>
        </is>
      </c>
      <c r="H4" s="10" t="inlineStr">
        <is>
          <t>Faculty</t>
        </is>
      </c>
      <c r="I4" s="10" t="inlineStr">
        <is>
          <t>GitHub</t>
        </is>
      </c>
      <c r="J4" s="10" t="inlineStr">
        <is>
          <t>LinkedIn</t>
        </is>
      </c>
      <c r="K4" s="10" t="inlineStr">
        <is>
          <t>Portfolio</t>
        </is>
      </c>
      <c r="L4" s="10" t="inlineStr">
        <is>
          <t>Total Competitions</t>
        </is>
      </c>
      <c r="M4" s="10" t="inlineStr">
        <is>
          <t>Total Wins</t>
        </is>
      </c>
      <c r="N4" s="10" t="inlineStr">
        <is>
          <t>Total Finalists</t>
        </is>
      </c>
      <c r="O4" s="10" t="inlineStr">
        <is>
          <t>Current Status</t>
        </is>
      </c>
    </row>
    <row r="5" ht="18" customHeight="1" s="22">
      <c r="A5" s="2">
        <f>IF(B5&lt;&gt;"","STD-"&amp;TEXT(ROW()+6,"0000"),"")</f>
        <v/>
      </c>
      <c r="B5" s="2" t="inlineStr">
        <is>
          <t>Mohamed Abd Elsalam Mohamed Gharieb</t>
        </is>
      </c>
      <c r="C5" s="2" t="inlineStr">
        <is>
          <t>moghariebai@gmail.com</t>
        </is>
      </c>
      <c r="D5" s="2" t="inlineStr">
        <is>
          <t>+20 01022487565</t>
        </is>
      </c>
      <c r="E5" s="2" t="inlineStr">
        <is>
          <t>AI &amp; Machine Learning</t>
        </is>
      </c>
      <c r="F5" s="2" t="inlineStr">
        <is>
          <t>Batch 3</t>
        </is>
      </c>
      <c r="G5" s="2" t="inlineStr">
        <is>
          <t>Alexandria University</t>
        </is>
      </c>
      <c r="H5" s="2" t="inlineStr">
        <is>
          <t>Faculty of Engineering</t>
        </is>
      </c>
      <c r="I5" s="2" t="inlineStr">
        <is>
          <t>https://github.com/GhariebML</t>
        </is>
      </c>
      <c r="J5" s="2" t="inlineStr">
        <is>
          <t>https://linkedin.com/in/ghariebml</t>
        </is>
      </c>
      <c r="K5" s="2" t="n"/>
      <c r="L5" s="2">
        <f>COUNTIF('Team Members'!D$5:D$2000, B5)</f>
        <v/>
      </c>
      <c r="M5" s="2">
        <f>COUNTIFS(Achievements!D$5:D$2000, B5, Achievements!F$5:F$2000, "Winner")</f>
        <v/>
      </c>
      <c r="N5" s="2">
        <f>COUNTIFS(Achievements!D$5:D$2000, B5, Achievements!F$5:F$2000, "Finalist")</f>
        <v/>
      </c>
      <c r="O5" s="2" t="inlineStr">
        <is>
          <t>Active</t>
        </is>
      </c>
      <c r="P5" s="2" t="n"/>
    </row>
    <row r="6" ht="18" customHeight="1" s="22">
      <c r="A6" s="2">
        <f>IF(B6&lt;&gt;"","STD-"&amp;TEXT(ROW()+6,"0000"),"")</f>
        <v/>
      </c>
      <c r="B6" s="2" t="inlineStr">
        <is>
          <t>Goda Emad Goda Elsayed</t>
        </is>
      </c>
      <c r="C6" s="2" t="inlineStr">
        <is>
          <t>goda.emad.elsayed@gmail.com</t>
        </is>
      </c>
      <c r="D6" s="2" t="inlineStr">
        <is>
          <t>01126242932</t>
        </is>
      </c>
      <c r="E6" s="2" t="inlineStr">
        <is>
          <t>AI &amp; Machine Learning</t>
        </is>
      </c>
      <c r="F6" s="2" t="inlineStr">
        <is>
          <t>Batch 3</t>
        </is>
      </c>
      <c r="G6" s="2" t="inlineStr">
        <is>
          <t>Alexandria University</t>
        </is>
      </c>
      <c r="H6" s="2" t="inlineStr">
        <is>
          <t>Faculty of Engineering</t>
        </is>
      </c>
      <c r="I6" s="2" t="inlineStr">
        <is>
          <t>https://github.com/godaemad</t>
        </is>
      </c>
      <c r="J6" s="2" t="n"/>
      <c r="K6" s="2" t="n"/>
      <c r="L6" s="2">
        <f>COUNTIF('Team Members'!D$5:D$2000, B6)</f>
        <v/>
      </c>
      <c r="M6" s="2">
        <f>COUNTIFS(Achievements!D$5:D$2000, B6, Achievements!F$5:F$2000, "Winner")</f>
        <v/>
      </c>
      <c r="N6" s="2">
        <f>COUNTIFS(Achievements!D$5:D$2000, B6, Achievements!F$5:F$2000, "Finalist")</f>
        <v/>
      </c>
      <c r="O6" s="2" t="inlineStr">
        <is>
          <t>Active</t>
        </is>
      </c>
      <c r="P6" s="2" t="n"/>
    </row>
    <row r="7" ht="18" customHeight="1" s="22">
      <c r="A7" s="2">
        <f>IF(B7&lt;&gt;"","STD-"&amp;TEXT(ROW()+6,"0000"),"")</f>
        <v/>
      </c>
      <c r="B7" s="2" t="inlineStr">
        <is>
          <t>Aya Emad Ramadan Elsaby</t>
        </is>
      </c>
      <c r="C7" s="2" t="inlineStr">
        <is>
          <t>aya.emad.elsaby@gmail.com</t>
        </is>
      </c>
      <c r="D7" s="2" t="inlineStr">
        <is>
          <t>01121897160</t>
        </is>
      </c>
      <c r="E7" s="2" t="inlineStr">
        <is>
          <t>AI &amp; Machine Learning</t>
        </is>
      </c>
      <c r="F7" s="2" t="inlineStr">
        <is>
          <t>Batch 3</t>
        </is>
      </c>
      <c r="G7" s="2" t="inlineStr">
        <is>
          <t>Alexandria University</t>
        </is>
      </c>
      <c r="H7" s="2" t="inlineStr">
        <is>
          <t>Faculty of Engineering</t>
        </is>
      </c>
      <c r="I7" s="2" t="inlineStr">
        <is>
          <t>https://github.com/ayaemad</t>
        </is>
      </c>
      <c r="J7" s="2" t="n"/>
      <c r="K7" s="2" t="n"/>
      <c r="L7" s="2">
        <f>COUNTIF('Team Members'!D$5:D$2000, B7)</f>
        <v/>
      </c>
      <c r="M7" s="2">
        <f>COUNTIFS(Achievements!D$5:D$2000, B7, Achievements!F$5:F$2000, "Winner")</f>
        <v/>
      </c>
      <c r="N7" s="2">
        <f>COUNTIFS(Achievements!D$5:D$2000, B7, Achievements!F$5:F$2000, "Finalist")</f>
        <v/>
      </c>
      <c r="O7" s="2" t="inlineStr">
        <is>
          <t>Active</t>
        </is>
      </c>
      <c r="P7" s="2" t="n"/>
    </row>
    <row r="8" ht="18" customHeight="1" s="22">
      <c r="A8" s="2">
        <f>IF(B8&lt;&gt;"","STD-"&amp;TEXT(ROW()+6,"0000"),"")</f>
        <v/>
      </c>
      <c r="B8" s="2" t="inlineStr">
        <is>
          <t>Eman Mansour Abdel Halim Barrin</t>
        </is>
      </c>
      <c r="C8" s="2" t="inlineStr">
        <is>
          <t>eman.mansour.barrin@gmail.com</t>
        </is>
      </c>
      <c r="D8" s="2" t="inlineStr">
        <is>
          <t>01068302915</t>
        </is>
      </c>
      <c r="E8" s="2" t="inlineStr">
        <is>
          <t>AI &amp; Machine Learning</t>
        </is>
      </c>
      <c r="F8" s="2" t="inlineStr">
        <is>
          <t>Batch 3</t>
        </is>
      </c>
      <c r="G8" s="2" t="inlineStr">
        <is>
          <t>Alexandria University</t>
        </is>
      </c>
      <c r="H8" s="2" t="inlineStr">
        <is>
          <t>Faculty of Engineering</t>
        </is>
      </c>
      <c r="I8" s="2" t="inlineStr">
        <is>
          <t>https://github.com/emanmansour</t>
        </is>
      </c>
      <c r="J8" s="2" t="n"/>
      <c r="K8" s="2" t="n"/>
      <c r="L8" s="2">
        <f>COUNTIF('Team Members'!D$5:D$2000, B8)</f>
        <v/>
      </c>
      <c r="M8" s="2">
        <f>COUNTIFS(Achievements!D$5:D$2000, B8, Achievements!F$5:F$2000, "Winner")</f>
        <v/>
      </c>
      <c r="N8" s="2">
        <f>COUNTIFS(Achievements!D$5:D$2000, B8, Achievements!F$5:F$2000, "Finalist")</f>
        <v/>
      </c>
      <c r="O8" s="2" t="inlineStr">
        <is>
          <t>Active</t>
        </is>
      </c>
      <c r="P8" s="2" t="n"/>
    </row>
    <row r="9" ht="18" customHeight="1" s="22">
      <c r="A9" s="2">
        <f>IF(B9&lt;&gt;"","STD-"&amp;TEXT(ROW()+6,"0000"),"")</f>
        <v/>
      </c>
      <c r="B9" s="2" t="inlineStr">
        <is>
          <t>Aya Ashraf Elias AbdelMaksoud</t>
        </is>
      </c>
      <c r="C9" s="2" t="inlineStr">
        <is>
          <t>Ayaaeliass@gmail.com</t>
        </is>
      </c>
      <c r="D9" s="2" t="inlineStr">
        <is>
          <t>01277474411</t>
        </is>
      </c>
      <c r="E9" s="2" t="inlineStr">
        <is>
          <t>AI &amp; Machine Learning</t>
        </is>
      </c>
      <c r="F9" s="2" t="inlineStr">
        <is>
          <t>Batch 3</t>
        </is>
      </c>
      <c r="G9" s="2" t="inlineStr">
        <is>
          <t>Alexandria University</t>
        </is>
      </c>
      <c r="H9" s="2" t="inlineStr">
        <is>
          <t>Faculty of Engineering</t>
        </is>
      </c>
      <c r="I9" s="2" t="inlineStr">
        <is>
          <t>https://github.com/Ayaaeliass</t>
        </is>
      </c>
      <c r="J9" s="2" t="n"/>
      <c r="K9" s="2" t="n"/>
      <c r="L9" s="2">
        <f>COUNTIF('Team Members'!D$5:D$2000, B9)</f>
        <v/>
      </c>
      <c r="M9" s="2">
        <f>COUNTIFS(Achievements!D$5:D$2000, B9, Achievements!F$5:F$2000, "Winner")</f>
        <v/>
      </c>
      <c r="N9" s="2">
        <f>COUNTIFS(Achievements!D$5:D$2000, B9, Achievements!F$5:F$2000, "Finalist")</f>
        <v/>
      </c>
      <c r="O9" s="2" t="inlineStr">
        <is>
          <t>Active</t>
        </is>
      </c>
      <c r="P9" s="2" t="n"/>
    </row>
    <row r="10" ht="18" customHeight="1" s="22">
      <c r="A10" s="2">
        <f>IF(B10&lt;&gt;"","STD-"&amp;TEXT(ROW()+6,"0000"),"")</f>
        <v/>
      </c>
      <c r="B10" s="2" t="inlineStr">
        <is>
          <t>Aya Mostafa Ali Hassan</t>
        </is>
      </c>
      <c r="C10" s="2" t="inlineStr">
        <is>
          <t>aya.mostafa.hassan@gmail.com</t>
        </is>
      </c>
      <c r="D10" s="2" t="inlineStr">
        <is>
          <t>01156565656</t>
        </is>
      </c>
      <c r="E10" s="2" t="inlineStr">
        <is>
          <t>AI &amp; Machine Learning</t>
        </is>
      </c>
      <c r="F10" s="2" t="inlineStr">
        <is>
          <t>Batch 3</t>
        </is>
      </c>
      <c r="G10" s="2" t="inlineStr">
        <is>
          <t>Alexandria University</t>
        </is>
      </c>
      <c r="H10" s="2" t="inlineStr">
        <is>
          <t>Faculty of Engineering</t>
        </is>
      </c>
      <c r="I10" s="2" t="inlineStr">
        <is>
          <t>https://github.com/ayamostafa</t>
        </is>
      </c>
      <c r="J10" s="2" t="n"/>
      <c r="K10" s="2" t="n"/>
      <c r="L10" s="2">
        <f>COUNTIF('Team Members'!D$5:D$2000, B10)</f>
        <v/>
      </c>
      <c r="M10" s="2">
        <f>COUNTIFS(Achievements!D$5:D$2000, B10, Achievements!F$5:F$2000, "Winner")</f>
        <v/>
      </c>
      <c r="N10" s="2">
        <f>COUNTIFS(Achievements!D$5:D$2000, B10, Achievements!F$5:F$2000, "Finalist")</f>
        <v/>
      </c>
      <c r="O10" s="2" t="inlineStr">
        <is>
          <t>Active</t>
        </is>
      </c>
      <c r="P10" s="2" t="n"/>
    </row>
    <row r="11" ht="18" customHeight="1" s="22"/>
    <row r="12" ht="18" customHeight="1" s="22"/>
    <row r="13" ht="18" customHeight="1" s="22"/>
    <row r="14" ht="18" customHeight="1" s="22"/>
    <row r="15" ht="18" customHeight="1" s="22"/>
    <row r="16" ht="18" customHeight="1" s="22"/>
    <row r="17" ht="18" customHeight="1" s="22"/>
    <row r="18" ht="18" customHeight="1" s="22"/>
    <row r="19" ht="18" customHeight="1" s="22"/>
  </sheetData>
  <autoFilter ref="A4:O4"/>
  <mergeCells count="2">
    <mergeCell ref="A1:P1"/>
    <mergeCell ref="A2:P2"/>
  </mergeCells>
  <conditionalFormatting sqref="M5:M2000">
    <cfRule type="cellIs" priority="5" operator="greaterThan" dxfId="2">
      <formula>0</formula>
    </cfRule>
  </conditionalFormatting>
  <conditionalFormatting sqref="O5:O2000">
    <cfRule type="expression" priority="2" dxfId="2">
      <formula>O5="Active"</formula>
    </cfRule>
    <cfRule type="expression" priority="3" dxfId="1">
      <formula>O5="Graduated"</formula>
    </cfRule>
    <cfRule type="expression" priority="4" dxfId="0">
      <formula>O5="Inactive"</formula>
    </cfRule>
  </conditionalFormatting>
  <dataValidations count="1">
    <dataValidation sqref="O5:O1014" showDropDown="0" showInputMessage="0" showErrorMessage="0" allowBlank="1" type="list">
      <formula1>"Active,Inactive,Graduated"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F59E0B"/>
    <outlinePr summaryBelow="1" summaryRight="1"/>
    <pageSetUpPr/>
  </sheetPr>
  <dimension ref="A1:V22"/>
  <sheetViews>
    <sheetView showGridLines="0" topLeftCell="B1" zoomScaleNormal="100" workbookViewId="0">
      <selection activeCell="A1" sqref="A1:R1"/>
    </sheetView>
  </sheetViews>
  <sheetFormatPr baseColWidth="8" defaultColWidth="8.6328125" defaultRowHeight="14.5"/>
  <cols>
    <col width="14" customWidth="1" style="22" min="1" max="16"/>
  </cols>
  <sheetData>
    <row r="1" ht="43.5" customHeight="1" s="22">
      <c r="A1" s="57" t="inlineStr">
        <is>
          <t>🏆  DIGILIANS ACHIEVEMENT PORTAL — DASHBOARD</t>
        </is>
      </c>
    </row>
    <row r="2" ht="18" customHeight="1" s="22">
      <c r="A2" s="24" t="inlineStr">
        <is>
          <t>Auto-calculated from live data  |  Last Refreshed: 26 June 2026</t>
        </is>
      </c>
    </row>
    <row r="3">
      <c r="R3" s="11" t="inlineStr">
        <is>
          <t>Track</t>
        </is>
      </c>
      <c r="S3" s="11" t="inlineStr">
        <is>
          <t>Count</t>
        </is>
      </c>
      <c r="U3" s="11" t="inlineStr">
        <is>
          <t>Status</t>
        </is>
      </c>
      <c r="V3" s="11" t="inlineStr">
        <is>
          <t>Count</t>
        </is>
      </c>
    </row>
    <row r="4" ht="19.5" customHeight="1" s="22">
      <c r="A4" s="32" t="inlineStr">
        <is>
          <t>👤 Total Students</t>
        </is>
      </c>
      <c r="C4" s="28" t="inlineStr">
        <is>
          <t>🏅 Total Competitions</t>
        </is>
      </c>
      <c r="E4" s="33" t="inlineStr">
        <is>
          <t>📋 Total Submissions</t>
        </is>
      </c>
      <c r="G4" s="23" t="inlineStr">
        <is>
          <t>👥 Total Team Members</t>
        </is>
      </c>
      <c r="I4" s="29" t="inlineStr">
        <is>
          <t>🏆 Total Winners</t>
        </is>
      </c>
      <c r="K4" s="30" t="inlineStr">
        <is>
          <t>🎖 Total Finalists</t>
        </is>
      </c>
      <c r="M4" s="25" t="inlineStr">
        <is>
          <t>✅ Verified Achievements</t>
        </is>
      </c>
      <c r="O4" s="50" t="inlineStr">
        <is>
          <t>🔓 Open Competitions</t>
        </is>
      </c>
      <c r="R4" t="inlineStr">
        <is>
          <t>AI &amp; Machine Learning</t>
        </is>
      </c>
      <c r="S4">
        <f>COUNTIF('Competition Submissions'!J5:J2000,"AI &amp; Machine Learning")</f>
        <v/>
      </c>
      <c r="U4" t="inlineStr">
        <is>
          <t>Winner</t>
        </is>
      </c>
      <c r="V4">
        <f>COUNTIF('Competition Submissions'!AH5:AH2000,"Winner")</f>
        <v/>
      </c>
    </row>
    <row r="5" ht="36" customHeight="1" s="22">
      <c r="A5" s="51">
        <f>COUNTA('Student Directory'!B5:B2000)</f>
        <v/>
      </c>
      <c r="C5" s="37">
        <f>COUNTA('Competitions Database'!B5:B2000)</f>
        <v/>
      </c>
      <c r="E5" s="38">
        <f>COUNTA('Competition Submissions'!B5:B2000)</f>
        <v/>
      </c>
      <c r="G5" s="52">
        <f>COUNTA('Team Members'!D5:D2000)</f>
        <v/>
      </c>
      <c r="I5" s="53">
        <f>COUNTIF('Competition Submissions'!AH5:AH2000,"Winner")</f>
        <v/>
      </c>
      <c r="K5" s="39">
        <f>COUNTIF('Competition Submissions'!AH5:AH2000,"Finalist")</f>
        <v/>
      </c>
      <c r="M5" s="40">
        <f>COUNTIF(Achievements!L5:L2000,"Yes")</f>
        <v/>
      </c>
      <c r="O5" s="45">
        <f>COUNTIF('Competitions Database'!N5:N2000,"Open")</f>
        <v/>
      </c>
      <c r="R5" t="inlineStr">
        <is>
          <t>Data Science</t>
        </is>
      </c>
      <c r="S5">
        <f>COUNTIF('Competition Submissions'!J5:J2000,"Data Science")</f>
        <v/>
      </c>
      <c r="U5" t="inlineStr">
        <is>
          <t>Finalist</t>
        </is>
      </c>
      <c r="V5">
        <f>COUNTIF('Competition Submissions'!AH5:AH2000,"Finalist")</f>
        <v/>
      </c>
    </row>
    <row r="6">
      <c r="R6" t="inlineStr">
        <is>
          <t>Web Development</t>
        </is>
      </c>
      <c r="S6">
        <f>COUNTIF('Competition Submissions'!J5:J2000,"Web Development")</f>
        <v/>
      </c>
      <c r="U6" t="inlineStr">
        <is>
          <t>Shortlisted</t>
        </is>
      </c>
      <c r="V6">
        <f>COUNTIF('Competition Submissions'!AH5:AH2000,"Shortlisted")</f>
        <v/>
      </c>
    </row>
    <row r="7" ht="12" customHeight="1" s="22">
      <c r="R7" t="inlineStr">
        <is>
          <t>Mobile Development</t>
        </is>
      </c>
      <c r="S7">
        <f>COUNTIF('Competition Submissions'!J5:J2000,"Mobile Development")</f>
        <v/>
      </c>
      <c r="U7" t="inlineStr">
        <is>
          <t>Under Review</t>
        </is>
      </c>
      <c r="V7">
        <f>COUNTIF('Competition Submissions'!AH5:AH2000,"Under Review")</f>
        <v/>
      </c>
    </row>
    <row r="8" ht="24" customHeight="1" s="22">
      <c r="A8" s="54" t="inlineStr">
        <is>
          <t>📊  PARTICIPATION BY TRACK</t>
        </is>
      </c>
      <c r="B8" s="35" t="n"/>
      <c r="C8" s="35" t="n"/>
      <c r="D8" s="35" t="n"/>
      <c r="E8" s="35" t="n"/>
      <c r="F8" s="35" t="n"/>
      <c r="G8" s="35" t="n"/>
      <c r="H8" s="35" t="n"/>
      <c r="J8" s="46" t="inlineStr">
        <is>
          <t>🏅  TOP STUDENTS LEADERBOARD</t>
        </is>
      </c>
      <c r="K8" s="35" t="n"/>
      <c r="L8" s="35" t="n"/>
      <c r="M8" s="35" t="n"/>
      <c r="N8" s="35" t="n"/>
      <c r="O8" s="35" t="n"/>
      <c r="P8" s="35" t="n"/>
      <c r="R8" t="inlineStr">
        <is>
          <t>Cybersecurity</t>
        </is>
      </c>
      <c r="S8">
        <f>COUNTIF('Competition Submissions'!J5:J2000,"Cybersecurity")</f>
        <v/>
      </c>
      <c r="U8" t="inlineStr">
        <is>
          <t>Registered</t>
        </is>
      </c>
      <c r="V8">
        <f>COUNTIF('Competition Submissions'!AH5:AH2000,"Registered")</f>
        <v/>
      </c>
    </row>
    <row r="9">
      <c r="A9" s="42" t="inlineStr">
        <is>
          <t>Track</t>
        </is>
      </c>
      <c r="B9" s="35" t="n"/>
      <c r="C9" s="35" t="n"/>
      <c r="D9" s="43" t="n"/>
      <c r="E9" s="56" t="inlineStr">
        <is>
          <t>Track</t>
        </is>
      </c>
      <c r="F9" s="35" t="n"/>
      <c r="G9" s="35" t="n"/>
      <c r="H9" s="35" t="n"/>
      <c r="I9" s="42" t="inlineStr">
        <is>
          <t>Count</t>
        </is>
      </c>
      <c r="J9" s="42" t="inlineStr">
        <is>
          <t>#</t>
        </is>
      </c>
      <c r="K9" s="42" t="inlineStr">
        <is>
          <t>Student Name</t>
        </is>
      </c>
      <c r="L9" s="42" t="inlineStr">
        <is>
          <t>Competitions</t>
        </is>
      </c>
      <c r="M9" s="42" t="inlineStr">
        <is>
          <t>Wins</t>
        </is>
      </c>
      <c r="N9" s="42" t="inlineStr">
        <is>
          <t>Finals</t>
        </is>
      </c>
      <c r="R9" t="inlineStr">
        <is>
          <t>Cloud Computing</t>
        </is>
      </c>
      <c r="S9">
        <f>COUNTIF('Competition Submissions'!J5:J2000,"Cloud Computing")</f>
        <v/>
      </c>
      <c r="U9" t="inlineStr">
        <is>
          <t>Rejected</t>
        </is>
      </c>
      <c r="V9">
        <f>COUNTIF('Competition Submissions'!AH5:AH2000,"Rejected")</f>
        <v/>
      </c>
    </row>
    <row r="10" ht="18" customHeight="1" s="22">
      <c r="A10" s="34" t="inlineStr">
        <is>
          <t>AI &amp; Machine Learning</t>
        </is>
      </c>
      <c r="B10" s="35" t="n"/>
      <c r="C10" s="35" t="n"/>
      <c r="D10" s="35" t="n"/>
      <c r="E10" s="48">
        <f>COUNTIF('Competition Submissions'!J5:J2000,"AI &amp; Machine Learning")</f>
        <v/>
      </c>
      <c r="F10" s="35" t="n"/>
      <c r="G10" s="35" t="n"/>
      <c r="H10" s="35" t="n"/>
      <c r="J10" s="13" t="n">
        <v>1</v>
      </c>
      <c r="K10" s="14">
        <f>'Student Directory'!B5</f>
        <v/>
      </c>
      <c r="L10" s="15">
        <f>'Student Directory'!L5</f>
        <v/>
      </c>
      <c r="M10" s="15">
        <f>'Student Directory'!M5</f>
        <v/>
      </c>
      <c r="N10" s="15">
        <f>'Student Directory'!N5</f>
        <v/>
      </c>
      <c r="R10" t="inlineStr">
        <is>
          <t>UI/UX Design</t>
        </is>
      </c>
      <c r="S10">
        <f>COUNTIF('Competition Submissions'!J5:J2000,"UI/UX Design")</f>
        <v/>
      </c>
    </row>
    <row r="11" ht="18" customHeight="1" s="22">
      <c r="A11" s="36" t="inlineStr">
        <is>
          <t>Data Science</t>
        </is>
      </c>
      <c r="B11" s="35" t="n"/>
      <c r="C11" s="35" t="n"/>
      <c r="D11" s="35" t="n"/>
      <c r="E11" s="55">
        <f>COUNTIF('Competition Submissions'!J5:J2000,"Data Science")</f>
        <v/>
      </c>
      <c r="F11" s="35" t="n"/>
      <c r="G11" s="35" t="n"/>
      <c r="H11" s="35" t="n"/>
      <c r="J11" s="16" t="n">
        <v>2</v>
      </c>
      <c r="K11" s="17">
        <f>'Student Directory'!B6</f>
        <v/>
      </c>
      <c r="L11" s="18">
        <f>'Student Directory'!L6</f>
        <v/>
      </c>
      <c r="M11" s="18">
        <f>'Student Directory'!M6</f>
        <v/>
      </c>
      <c r="N11" s="18">
        <f>'Student Directory'!N6</f>
        <v/>
      </c>
      <c r="R11" t="inlineStr">
        <is>
          <t>Business Technology</t>
        </is>
      </c>
      <c r="S11">
        <f>COUNTIF('Competition Submissions'!J5:J2000,"Business Technology")</f>
        <v/>
      </c>
    </row>
    <row r="12" ht="18" customHeight="1" s="22">
      <c r="A12" s="34" t="inlineStr">
        <is>
          <t>Web Development</t>
        </is>
      </c>
      <c r="B12" s="35" t="n"/>
      <c r="C12" s="35" t="n"/>
      <c r="D12" s="35" t="n"/>
      <c r="E12" s="48">
        <f>COUNTIF('Competition Submissions'!J5:J2000,"Web Development")</f>
        <v/>
      </c>
      <c r="F12" s="35" t="n"/>
      <c r="G12" s="35" t="n"/>
      <c r="H12" s="35" t="n"/>
      <c r="J12" s="13" t="n">
        <v>3</v>
      </c>
      <c r="K12" s="14">
        <f>'Student Directory'!B7</f>
        <v/>
      </c>
      <c r="L12" s="15">
        <f>'Student Directory'!L7</f>
        <v/>
      </c>
      <c r="M12" s="15">
        <f>'Student Directory'!M7</f>
        <v/>
      </c>
      <c r="N12" s="15">
        <f>'Student Directory'!N7</f>
        <v/>
      </c>
      <c r="R12" t="inlineStr">
        <is>
          <t>Embedded Systems</t>
        </is>
      </c>
      <c r="S12">
        <f>COUNTIF('Competition Submissions'!J5:J2000,"Embedded Systems")</f>
        <v/>
      </c>
    </row>
    <row r="13" ht="18" customHeight="1" s="22">
      <c r="A13" s="36" t="inlineStr">
        <is>
          <t>Mobile Development</t>
        </is>
      </c>
      <c r="B13" s="35" t="n"/>
      <c r="C13" s="35" t="n"/>
      <c r="D13" s="35" t="n"/>
      <c r="E13" s="55">
        <f>COUNTIF('Competition Submissions'!J5:J2000,"Mobile Development")</f>
        <v/>
      </c>
      <c r="F13" s="35" t="n"/>
      <c r="G13" s="35" t="n"/>
      <c r="H13" s="35" t="n"/>
      <c r="J13" s="16" t="n">
        <v>4</v>
      </c>
      <c r="K13" s="17">
        <f>'Student Directory'!B8</f>
        <v/>
      </c>
      <c r="L13" s="18">
        <f>'Student Directory'!L8</f>
        <v/>
      </c>
      <c r="M13" s="18">
        <f>'Student Directory'!M8</f>
        <v/>
      </c>
      <c r="N13" s="18">
        <f>'Student Directory'!N8</f>
        <v/>
      </c>
      <c r="R13" t="inlineStr">
        <is>
          <t>Other</t>
        </is>
      </c>
      <c r="S13">
        <f>COUNTIF('Competition Submissions'!J5:J2000,"Other")</f>
        <v/>
      </c>
    </row>
    <row r="14" ht="18" customHeight="1" s="22">
      <c r="A14" s="34" t="inlineStr">
        <is>
          <t>Cybersecurity</t>
        </is>
      </c>
      <c r="B14" s="35" t="n"/>
      <c r="C14" s="35" t="n"/>
      <c r="D14" s="35" t="n"/>
      <c r="E14" s="48">
        <f>COUNTIF('Competition Submissions'!J5:J2000,"Cybersecurity")</f>
        <v/>
      </c>
      <c r="F14" s="35" t="n"/>
      <c r="G14" s="35" t="n"/>
      <c r="H14" s="35" t="n"/>
      <c r="J14" s="13" t="n">
        <v>5</v>
      </c>
      <c r="K14" s="14">
        <f>'Student Directory'!B9</f>
        <v/>
      </c>
      <c r="L14" s="15">
        <f>'Student Directory'!L9</f>
        <v/>
      </c>
      <c r="M14" s="15">
        <f>'Student Directory'!M9</f>
        <v/>
      </c>
      <c r="N14" s="15">
        <f>'Student Directory'!N9</f>
        <v/>
      </c>
    </row>
    <row r="16" ht="24" customHeight="1" s="22">
      <c r="A16" s="47" t="inlineStr">
        <is>
          <t>📈  COMPETITION SUCCESS METRICS</t>
        </is>
      </c>
      <c r="B16" s="35" t="n"/>
      <c r="C16" s="35" t="n"/>
      <c r="D16" s="35" t="n"/>
      <c r="E16" s="35" t="n"/>
      <c r="F16" s="35" t="n"/>
      <c r="G16" s="35" t="n"/>
      <c r="H16" s="35" t="n"/>
      <c r="J16" s="58" t="inlineStr">
        <is>
          <t>📅  MONTHLY REGISTRATIONS</t>
        </is>
      </c>
      <c r="K16" s="35" t="n"/>
      <c r="L16" s="35" t="n"/>
      <c r="M16" s="35" t="n"/>
      <c r="N16" s="35" t="n"/>
      <c r="O16" s="35" t="n"/>
      <c r="P16" s="35" t="n"/>
    </row>
    <row r="17" ht="18" customHeight="1" s="22">
      <c r="A17" s="34" t="inlineStr">
        <is>
          <t>Total Submissions</t>
        </is>
      </c>
      <c r="B17" s="35" t="n"/>
      <c r="C17" s="35" t="n"/>
      <c r="D17" s="35" t="n"/>
      <c r="E17" s="49">
        <f>COUNTA('Competition Submissions'!B5:B2000)</f>
        <v/>
      </c>
      <c r="F17" s="35" t="n"/>
      <c r="G17" s="35" t="n"/>
      <c r="H17" s="35" t="n"/>
      <c r="J17" s="42" t="inlineStr">
        <is>
          <t>Jan</t>
        </is>
      </c>
      <c r="K17" s="42" t="inlineStr">
        <is>
          <t>Feb</t>
        </is>
      </c>
      <c r="L17" s="42" t="inlineStr">
        <is>
          <t>Mar</t>
        </is>
      </c>
      <c r="M17" s="42" t="inlineStr">
        <is>
          <t>Apr</t>
        </is>
      </c>
      <c r="N17" s="42" t="inlineStr">
        <is>
          <t>May</t>
        </is>
      </c>
      <c r="O17" s="42" t="inlineStr">
        <is>
          <t>Jun</t>
        </is>
      </c>
      <c r="P17" s="42" t="inlineStr">
        <is>
          <t>Jul</t>
        </is>
      </c>
    </row>
    <row r="18" ht="24" customHeight="1" s="22">
      <c r="A18" s="36" t="inlineStr">
        <is>
          <t>Winners</t>
        </is>
      </c>
      <c r="B18" s="35" t="n"/>
      <c r="C18" s="35" t="n"/>
      <c r="D18" s="35" t="n"/>
      <c r="E18" s="44">
        <f>COUNTIF('Competition Submissions'!AH5:AH2000,"Winner")</f>
        <v/>
      </c>
      <c r="F18" s="35" t="n"/>
      <c r="G18" s="35" t="n"/>
      <c r="H18" s="35" t="n"/>
      <c r="J18" s="19">
        <f>SUMPRODUCT((MONTH('Competition Submissions'!B5:B2000)=1)*(YEAR('Competition Submissions'!B5:B2000)=2026))</f>
        <v/>
      </c>
      <c r="K18" s="19">
        <f>SUMPRODUCT((MONTH('Competition Submissions'!B5:B2000)=2)*(YEAR('Competition Submissions'!B5:B2000)=2026))</f>
        <v/>
      </c>
      <c r="L18" s="19">
        <f>SUMPRODUCT((MONTH('Competition Submissions'!B5:B2000)=3)*(YEAR('Competition Submissions'!B5:B2000)=2026))</f>
        <v/>
      </c>
      <c r="M18" s="19">
        <f>SUMPRODUCT((MONTH('Competition Submissions'!B5:B2000)=4)*(YEAR('Competition Submissions'!B5:B2000)=2026))</f>
        <v/>
      </c>
      <c r="N18" s="19">
        <f>SUMPRODUCT((MONTH('Competition Submissions'!B5:B2000)=5)*(YEAR('Competition Submissions'!B5:B2000)=2026))</f>
        <v/>
      </c>
      <c r="O18" s="19">
        <f>SUMPRODUCT((MONTH('Competition Submissions'!B5:B2000)=6)*(YEAR('Competition Submissions'!B5:B2000)=2026))</f>
        <v/>
      </c>
      <c r="P18" s="19">
        <f>SUMPRODUCT((MONTH('Competition Submissions'!B5:B2000)=7)*(YEAR('Competition Submissions'!B5:B2000)=2026))</f>
        <v/>
      </c>
    </row>
    <row r="19" ht="18" customHeight="1" s="22">
      <c r="A19" s="34" t="inlineStr">
        <is>
          <t>Finalists</t>
        </is>
      </c>
      <c r="B19" s="35" t="n"/>
      <c r="C19" s="35" t="n"/>
      <c r="D19" s="35" t="n"/>
      <c r="E19" s="49">
        <f>COUNTIF('Competition Submissions'!AH5:AH2000,"Finalist")</f>
        <v/>
      </c>
      <c r="F19" s="35" t="n"/>
      <c r="G19" s="35" t="n"/>
      <c r="H19" s="35" t="n"/>
    </row>
    <row r="20" ht="18" customHeight="1" s="22">
      <c r="A20" s="36" t="inlineStr">
        <is>
          <t>Shortlisted</t>
        </is>
      </c>
      <c r="B20" s="35" t="n"/>
      <c r="C20" s="35" t="n"/>
      <c r="D20" s="35" t="n"/>
      <c r="E20" s="44">
        <f>COUNTIF('Competition Submissions'!AH5:AH2000,"Shortlisted")</f>
        <v/>
      </c>
      <c r="F20" s="35" t="n"/>
      <c r="G20" s="35" t="n"/>
      <c r="H20" s="35" t="n"/>
    </row>
    <row r="21" ht="18" customHeight="1" s="22">
      <c r="A21" s="34" t="inlineStr">
        <is>
          <t>Rejected</t>
        </is>
      </c>
      <c r="B21" s="35" t="n"/>
      <c r="C21" s="35" t="n"/>
      <c r="D21" s="35" t="n"/>
      <c r="E21" s="49">
        <f>COUNTIF('Competition Submissions'!AH5:AH2000,"Rejected")</f>
        <v/>
      </c>
      <c r="F21" s="35" t="n"/>
      <c r="G21" s="35" t="n"/>
      <c r="H21" s="35" t="n"/>
    </row>
    <row r="22" ht="18" customHeight="1" s="22">
      <c r="A22" s="36" t="inlineStr">
        <is>
          <t>Win Rate</t>
        </is>
      </c>
      <c r="B22" s="35" t="n"/>
      <c r="C22" s="35" t="n"/>
      <c r="D22" s="35" t="n"/>
      <c r="E22" s="41">
        <f>IF(COUNTA('Competition Submissions'!B5:B2000)=0,0,COUNTIF('Competition Submissions'!AH5:AH2000,"Winner")/COUNTA('Competition Submissions'!B5:B2000))</f>
        <v/>
      </c>
      <c r="F22" s="35" t="n"/>
      <c r="G22" s="35" t="n"/>
      <c r="H22" s="35" t="n"/>
    </row>
  </sheetData>
  <mergeCells count="46">
    <mergeCell ref="A17:D17"/>
    <mergeCell ref="A22:D22"/>
    <mergeCell ref="A20:D20"/>
    <mergeCell ref="C5:D5"/>
    <mergeCell ref="E5:F5"/>
    <mergeCell ref="K5:L5"/>
    <mergeCell ref="M5:N5"/>
    <mergeCell ref="A19:D19"/>
    <mergeCell ref="A10:D10"/>
    <mergeCell ref="A13:D13"/>
    <mergeCell ref="E22:H22"/>
    <mergeCell ref="C4:D4"/>
    <mergeCell ref="E4:F4"/>
    <mergeCell ref="A9:D9"/>
    <mergeCell ref="E18:H18"/>
    <mergeCell ref="O5:P5"/>
    <mergeCell ref="J8:P8"/>
    <mergeCell ref="A2:R2"/>
    <mergeCell ref="A16:H16"/>
    <mergeCell ref="E12:H12"/>
    <mergeCell ref="E21:H21"/>
    <mergeCell ref="A11:D11"/>
    <mergeCell ref="O4:P4"/>
    <mergeCell ref="E14:H14"/>
    <mergeCell ref="E17:H17"/>
    <mergeCell ref="A5:B5"/>
    <mergeCell ref="G5:H5"/>
    <mergeCell ref="E20:H20"/>
    <mergeCell ref="I5:J5"/>
    <mergeCell ref="E19:H19"/>
    <mergeCell ref="E10:H10"/>
    <mergeCell ref="A8:H8"/>
    <mergeCell ref="E13:H13"/>
    <mergeCell ref="A4:B4"/>
    <mergeCell ref="G4:H4"/>
    <mergeCell ref="A18:D18"/>
    <mergeCell ref="I4:J4"/>
    <mergeCell ref="E9:H9"/>
    <mergeCell ref="A12:D12"/>
    <mergeCell ref="A21:D21"/>
    <mergeCell ref="A1:R1"/>
    <mergeCell ref="K4:L4"/>
    <mergeCell ref="E11:H11"/>
    <mergeCell ref="J16:P16"/>
    <mergeCell ref="M4:N4"/>
    <mergeCell ref="A14:D14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FFD1D9E6"/>
    <outlinePr summaryBelow="1" summaryRight="1"/>
    <pageSetUpPr/>
  </sheetPr>
  <dimension ref="A1:T19"/>
  <sheetViews>
    <sheetView showGridLines="0" zoomScaleNormal="100" workbookViewId="0">
      <selection activeCell="H3" sqref="H3"/>
    </sheetView>
  </sheetViews>
  <sheetFormatPr baseColWidth="8" defaultColWidth="8.6328125" defaultRowHeight="14.5"/>
  <cols>
    <col width="22" customWidth="1" style="22" min="1" max="14"/>
  </cols>
  <sheetData>
    <row r="1" ht="36" customHeight="1" s="22">
      <c r="A1" s="27" t="inlineStr">
        <is>
          <t>🗂  Digilians — Reference Drop-Down Lists</t>
        </is>
      </c>
    </row>
    <row r="2" ht="18" customHeight="1" s="22">
      <c r="A2" s="24" t="inlineStr">
        <is>
          <t>All dropdown values used across the workbook</t>
        </is>
      </c>
    </row>
    <row r="3" ht="21.75" customHeight="1" s="22">
      <c r="A3" s="7" t="inlineStr">
        <is>
          <t>Tracks</t>
        </is>
      </c>
      <c r="B3" s="7" t="inlineStr">
        <is>
          <t>Competition Categories</t>
        </is>
      </c>
      <c r="C3" s="7" t="inlineStr">
        <is>
          <t>Countries</t>
        </is>
      </c>
      <c r="D3" s="7" t="inlineStr">
        <is>
          <t>Roles</t>
        </is>
      </c>
      <c r="E3" s="7" t="inlineStr">
        <is>
          <t>Competition Status</t>
        </is>
      </c>
      <c r="F3" s="7" t="inlineStr">
        <is>
          <t>Achievement Types</t>
        </is>
      </c>
      <c r="G3" s="7" t="inlineStr">
        <is>
          <t>Universities</t>
        </is>
      </c>
      <c r="H3" s="7" t="inlineStr">
        <is>
          <t>Academic Years</t>
        </is>
      </c>
      <c r="I3" s="7" t="inlineStr">
        <is>
          <t>Batches</t>
        </is>
      </c>
      <c r="J3" s="7" t="inlineStr">
        <is>
          <t>Yes/No</t>
        </is>
      </c>
      <c r="K3" s="7" t="inlineStr">
        <is>
          <t>Comp Type</t>
        </is>
      </c>
      <c r="L3" s="7" t="inlineStr">
        <is>
          <t>Comp Reg Status</t>
        </is>
      </c>
      <c r="M3" s="7" t="inlineStr">
        <is>
          <t>Student Status</t>
        </is>
      </c>
      <c r="N3" s="7" t="inlineStr">
        <is>
          <t>Verified</t>
        </is>
      </c>
    </row>
    <row r="4" ht="15.75" customHeight="1" s="22">
      <c r="A4" s="17" t="inlineStr">
        <is>
          <t>AI &amp; Machine Learning</t>
        </is>
      </c>
      <c r="B4" s="17" t="inlineStr">
        <is>
          <t>AI &amp; Machine Learning</t>
        </is>
      </c>
      <c r="C4" s="17" t="inlineStr">
        <is>
          <t>Egypt</t>
        </is>
      </c>
      <c r="D4" s="17" t="inlineStr">
        <is>
          <t>Leader</t>
        </is>
      </c>
      <c r="E4" s="17" t="inlineStr">
        <is>
          <t>Registered</t>
        </is>
      </c>
      <c r="F4" s="17" t="inlineStr">
        <is>
          <t>1st Place</t>
        </is>
      </c>
      <c r="G4" s="17" t="inlineStr">
        <is>
          <t>Cairo University</t>
        </is>
      </c>
      <c r="H4" s="17" t="inlineStr">
        <is>
          <t>1st Year</t>
        </is>
      </c>
      <c r="I4" s="17" t="inlineStr">
        <is>
          <t>Batch 1</t>
        </is>
      </c>
      <c r="J4" s="17" t="inlineStr">
        <is>
          <t>Yes</t>
        </is>
      </c>
      <c r="K4" s="17" t="inlineStr">
        <is>
          <t>Online</t>
        </is>
      </c>
      <c r="L4" s="17" t="inlineStr">
        <is>
          <t>Upcoming</t>
        </is>
      </c>
      <c r="M4" s="17" t="inlineStr">
        <is>
          <t>Active</t>
        </is>
      </c>
      <c r="N4" s="17" t="inlineStr">
        <is>
          <t>Yes</t>
        </is>
      </c>
    </row>
    <row r="5" ht="15.75" customHeight="1" s="22">
      <c r="A5" s="14" t="inlineStr">
        <is>
          <t>Data Science</t>
        </is>
      </c>
      <c r="B5" s="14" t="inlineStr">
        <is>
          <t>Data Science</t>
        </is>
      </c>
      <c r="C5" s="14" t="inlineStr">
        <is>
          <t>Saudi Arabia</t>
        </is>
      </c>
      <c r="D5" s="14" t="inlineStr">
        <is>
          <t>Developer</t>
        </is>
      </c>
      <c r="E5" s="14" t="inlineStr">
        <is>
          <t>Team Formed</t>
        </is>
      </c>
      <c r="F5" s="14" t="inlineStr">
        <is>
          <t>2nd Place</t>
        </is>
      </c>
      <c r="G5" s="14" t="inlineStr">
        <is>
          <t>Ain Shams University</t>
        </is>
      </c>
      <c r="H5" s="14" t="inlineStr">
        <is>
          <t>2nd Year</t>
        </is>
      </c>
      <c r="I5" s="14" t="inlineStr">
        <is>
          <t>Batch 2</t>
        </is>
      </c>
      <c r="J5" s="14" t="inlineStr">
        <is>
          <t>No</t>
        </is>
      </c>
      <c r="K5" s="14" t="inlineStr">
        <is>
          <t>Offline</t>
        </is>
      </c>
      <c r="L5" s="14" t="inlineStr">
        <is>
          <t>Open</t>
        </is>
      </c>
      <c r="M5" s="14" t="inlineStr">
        <is>
          <t>Inactive</t>
        </is>
      </c>
      <c r="N5" s="14" t="inlineStr">
        <is>
          <t>No</t>
        </is>
      </c>
    </row>
    <row r="6" ht="15.75" customHeight="1" s="22">
      <c r="A6" s="17" t="inlineStr">
        <is>
          <t>Web Development</t>
        </is>
      </c>
      <c r="B6" s="17" t="inlineStr">
        <is>
          <t>Web Development</t>
        </is>
      </c>
      <c r="C6" s="17" t="inlineStr">
        <is>
          <t>UAE</t>
        </is>
      </c>
      <c r="D6" s="17" t="inlineStr">
        <is>
          <t>AI Engineer</t>
        </is>
      </c>
      <c r="E6" s="17" t="inlineStr">
        <is>
          <t>Idea Submitted</t>
        </is>
      </c>
      <c r="F6" s="17" t="inlineStr">
        <is>
          <t>3rd Place</t>
        </is>
      </c>
      <c r="G6" s="17" t="inlineStr">
        <is>
          <t>Alexandria University</t>
        </is>
      </c>
      <c r="H6" s="17" t="inlineStr">
        <is>
          <t>3rd Year</t>
        </is>
      </c>
      <c r="I6" s="17" t="inlineStr">
        <is>
          <t>Batch 3</t>
        </is>
      </c>
      <c r="K6" s="17" t="inlineStr">
        <is>
          <t>Hybrid</t>
        </is>
      </c>
      <c r="L6" s="17" t="inlineStr">
        <is>
          <t>Closed</t>
        </is>
      </c>
      <c r="M6" s="17" t="inlineStr">
        <is>
          <t>Graduated</t>
        </is>
      </c>
    </row>
    <row r="7" ht="15.75" customHeight="1" s="22">
      <c r="A7" s="14" t="inlineStr">
        <is>
          <t>Mobile Development</t>
        </is>
      </c>
      <c r="B7" s="14" t="inlineStr">
        <is>
          <t>Mobile Application</t>
        </is>
      </c>
      <c r="C7" s="14" t="inlineStr">
        <is>
          <t>Jordan</t>
        </is>
      </c>
      <c r="D7" s="14" t="inlineStr">
        <is>
          <t>Data Scientist</t>
        </is>
      </c>
      <c r="E7" s="14" t="inlineStr">
        <is>
          <t>Proposal Submitted</t>
        </is>
      </c>
      <c r="F7" s="14" t="inlineStr">
        <is>
          <t>Top 5</t>
        </is>
      </c>
      <c r="G7" s="14" t="inlineStr">
        <is>
          <t>Mansoura University</t>
        </is>
      </c>
      <c r="H7" s="14" t="inlineStr">
        <is>
          <t>4th Year</t>
        </is>
      </c>
      <c r="I7" s="14" t="inlineStr">
        <is>
          <t>Batch 4</t>
        </is>
      </c>
      <c r="L7" s="14" t="inlineStr">
        <is>
          <t>Finished</t>
        </is>
      </c>
    </row>
    <row r="8" ht="15.75" customHeight="1" s="22">
      <c r="A8" s="17" t="inlineStr">
        <is>
          <t>Cybersecurity</t>
        </is>
      </c>
      <c r="B8" s="17" t="inlineStr">
        <is>
          <t>Cybersecurity</t>
        </is>
      </c>
      <c r="C8" s="17" t="inlineStr">
        <is>
          <t>Kuwait</t>
        </is>
      </c>
      <c r="D8" s="17" t="inlineStr">
        <is>
          <t>Backend</t>
        </is>
      </c>
      <c r="E8" s="17" t="inlineStr">
        <is>
          <t>MVP Completed</t>
        </is>
      </c>
      <c r="F8" s="17" t="inlineStr">
        <is>
          <t>Top 10</t>
        </is>
      </c>
      <c r="G8" s="17" t="inlineStr">
        <is>
          <t>Helwan University</t>
        </is>
      </c>
      <c r="H8" s="17" t="inlineStr">
        <is>
          <t>5th Year</t>
        </is>
      </c>
      <c r="I8" s="17" t="inlineStr">
        <is>
          <t>Batch 5</t>
        </is>
      </c>
    </row>
    <row r="9" ht="15.75" customHeight="1" s="22">
      <c r="A9" s="14" t="inlineStr">
        <is>
          <t>Cloud Computing</t>
        </is>
      </c>
      <c r="B9" s="14" t="inlineStr">
        <is>
          <t>Innovation</t>
        </is>
      </c>
      <c r="C9" s="14" t="inlineStr">
        <is>
          <t>Qatar</t>
        </is>
      </c>
      <c r="D9" s="14" t="inlineStr">
        <is>
          <t>Frontend</t>
        </is>
      </c>
      <c r="E9" s="14" t="inlineStr">
        <is>
          <t>Under Review</t>
        </is>
      </c>
      <c r="F9" s="14" t="inlineStr">
        <is>
          <t>Top 20</t>
        </is>
      </c>
      <c r="G9" s="14" t="inlineStr">
        <is>
          <t>Benha University</t>
        </is>
      </c>
      <c r="H9" s="14" t="inlineStr">
        <is>
          <t>Graduate</t>
        </is>
      </c>
      <c r="I9" s="14" t="inlineStr">
        <is>
          <t>Batch 6</t>
        </is>
      </c>
    </row>
    <row r="10" ht="15.75" customHeight="1" s="22">
      <c r="A10" s="17" t="inlineStr">
        <is>
          <t>UI/UX Design</t>
        </is>
      </c>
      <c r="B10" s="17" t="inlineStr">
        <is>
          <t>Entrepreneurship</t>
        </is>
      </c>
      <c r="C10" s="17" t="inlineStr">
        <is>
          <t>Morocco</t>
        </is>
      </c>
      <c r="D10" s="17" t="inlineStr">
        <is>
          <t>UI/UX</t>
        </is>
      </c>
      <c r="E10" s="17" t="inlineStr">
        <is>
          <t>Shortlisted</t>
        </is>
      </c>
      <c r="F10" s="17" t="inlineStr">
        <is>
          <t>Finalist</t>
        </is>
      </c>
      <c r="G10" s="17" t="inlineStr">
        <is>
          <t>Zagazig University</t>
        </is>
      </c>
      <c r="I10" s="17" t="inlineStr">
        <is>
          <t>Batch 7</t>
        </is>
      </c>
    </row>
    <row r="11" ht="15.75" customHeight="1" s="22">
      <c r="A11" s="14" t="inlineStr">
        <is>
          <t>Business Technology</t>
        </is>
      </c>
      <c r="B11" s="14" t="inlineStr">
        <is>
          <t>Robotics</t>
        </is>
      </c>
      <c r="C11" s="14" t="inlineStr">
        <is>
          <t>Tunisia</t>
        </is>
      </c>
      <c r="D11" s="14" t="inlineStr">
        <is>
          <t>Business</t>
        </is>
      </c>
      <c r="E11" s="14" t="inlineStr">
        <is>
          <t>Top 100</t>
        </is>
      </c>
      <c r="F11" s="14" t="inlineStr">
        <is>
          <t>Honorable Mention</t>
        </is>
      </c>
      <c r="G11" s="14" t="inlineStr">
        <is>
          <t>Suez Canal University</t>
        </is>
      </c>
      <c r="I11" s="14" t="inlineStr">
        <is>
          <t>Batch 8</t>
        </is>
      </c>
    </row>
    <row r="12" ht="15.75" customHeight="1" s="22">
      <c r="A12" s="17" t="inlineStr">
        <is>
          <t>Embedded Systems</t>
        </is>
      </c>
      <c r="B12" s="17" t="inlineStr">
        <is>
          <t>Design</t>
        </is>
      </c>
      <c r="C12" s="17" t="inlineStr">
        <is>
          <t>Germany</t>
        </is>
      </c>
      <c r="D12" s="17" t="inlineStr">
        <is>
          <t>Marketing</t>
        </is>
      </c>
      <c r="E12" s="17" t="inlineStr">
        <is>
          <t>Top 50</t>
        </is>
      </c>
      <c r="F12" s="17" t="inlineStr">
        <is>
          <t>Participant</t>
        </is>
      </c>
      <c r="G12" s="17" t="inlineStr">
        <is>
          <t>Menoufia University</t>
        </is>
      </c>
      <c r="I12" s="17" t="inlineStr">
        <is>
          <t>Batch 9</t>
        </is>
      </c>
    </row>
    <row r="13" ht="15.75" customHeight="1" s="22">
      <c r="A13" s="14" t="inlineStr">
        <is>
          <t>Other</t>
        </is>
      </c>
      <c r="B13" s="14" t="inlineStr">
        <is>
          <t>Research</t>
        </is>
      </c>
      <c r="C13" s="14" t="inlineStr">
        <is>
          <t>USA</t>
        </is>
      </c>
      <c r="D13" s="14" t="inlineStr">
        <is>
          <t>Research</t>
        </is>
      </c>
      <c r="E13" s="14" t="inlineStr">
        <is>
          <t>Top 20</t>
        </is>
      </c>
      <c r="G13" s="14" t="inlineStr">
        <is>
          <t>South Valley University</t>
        </is>
      </c>
      <c r="I13" s="14" t="inlineStr">
        <is>
          <t>Batch 10</t>
        </is>
      </c>
    </row>
    <row r="14" ht="15.75" customHeight="1" s="22">
      <c r="B14" s="17" t="inlineStr">
        <is>
          <t>Open Source</t>
        </is>
      </c>
      <c r="C14" s="17" t="inlineStr">
        <is>
          <t>UK</t>
        </is>
      </c>
      <c r="D14" s="17" t="inlineStr">
        <is>
          <t>Other</t>
        </is>
      </c>
      <c r="E14" s="17" t="inlineStr">
        <is>
          <t>Finalist</t>
        </is>
      </c>
      <c r="G14" s="17" t="inlineStr">
        <is>
          <t>Other</t>
        </is>
      </c>
      <c r="I14" s="17" t="inlineStr">
        <is>
          <t>Batch 11</t>
        </is>
      </c>
    </row>
    <row r="15" ht="15.75" customHeight="1" s="22">
      <c r="B15" s="14" t="inlineStr">
        <is>
          <t>Other</t>
        </is>
      </c>
      <c r="C15" s="14" t="inlineStr">
        <is>
          <t>France</t>
        </is>
      </c>
      <c r="E15" s="14" t="inlineStr">
        <is>
          <t>Winner</t>
        </is>
      </c>
      <c r="I15" s="14" t="inlineStr">
        <is>
          <t>Batch 12</t>
        </is>
      </c>
    </row>
    <row r="16" ht="15.75" customHeight="1" s="22">
      <c r="C16" s="17" t="inlineStr">
        <is>
          <t>Canada</t>
        </is>
      </c>
      <c r="E16" s="17" t="inlineStr">
        <is>
          <t>Rejected</t>
        </is>
      </c>
      <c r="I16" s="17" t="inlineStr">
        <is>
          <t>Batch 13</t>
        </is>
      </c>
    </row>
    <row r="17" ht="15.75" customHeight="1" s="22">
      <c r="C17" s="14" t="inlineStr">
        <is>
          <t>Netherlands</t>
        </is>
      </c>
      <c r="I17" s="14" t="inlineStr">
        <is>
          <t>Batch 14</t>
        </is>
      </c>
    </row>
    <row r="18" ht="15.75" customHeight="1" s="22">
      <c r="C18" s="17" t="inlineStr">
        <is>
          <t>Singapore</t>
        </is>
      </c>
      <c r="I18" s="17" t="inlineStr">
        <is>
          <t>Batch 15</t>
        </is>
      </c>
    </row>
    <row r="19" ht="15.75" customHeight="1" s="22">
      <c r="C19" s="14" t="inlineStr">
        <is>
          <t>International</t>
        </is>
      </c>
    </row>
  </sheetData>
  <mergeCells count="2">
    <mergeCell ref="A1:T1"/>
    <mergeCell ref="A2:T2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2026-06-25T20:44:17Z</dcterms:created>
  <dcterms:modified xmlns:dcterms="http://purl.org/dc/terms/" xmlns:xsi="http://www.w3.org/2001/XMLSchema-instance" xsi:type="dcterms:W3CDTF">2026-06-25T22:55:03Z</dcterms:modified>
  <cp:lastModifiedBy>mohamed abd elsalam</cp:lastModifiedBy>
  <cp:revision>1</cp:revision>
</cp:coreProperties>
</file>